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Business" sheetId="2" state="visible" r:id="rId4"/>
    <sheet name="Ports" sheetId="3" state="visible" r:id="rId5"/>
    <sheet name="Roles" sheetId="4" state="visible" r:id="rId6"/>
    <sheet name="Glossary" sheetId="5" state="visible" r:id="rId7"/>
    <sheet name="Menu" sheetId="6" state="visible" r:id="rId8"/>
    <sheet name="Flows" sheetId="7" state="visible" r:id="rId9"/>
    <sheet name="Statuses" sheetId="8" state="visible" r:id="rId10"/>
    <sheet name="Movement types" sheetId="9" state="visible" r:id="rId11"/>
    <sheet name="Rules" sheetId="10" state="visible" r:id="rId12"/>
    <sheet name="Prompts" sheetId="11" state="visible" r:id="rId13"/>
    <sheet name="Scripts" sheetId="12" state="visible" r:id="rId14"/>
    <sheet name="Next" sheetId="13" state="visible" r:id="rId15"/>
    <sheet name="Known problems" sheetId="14" state="visible" r:id="rId16"/>
    <sheet name="Decisions" sheetId="15" state="visible" r:id="rId17"/>
    <sheet name="Error codes" sheetId="16" state="visible" r:id="rId18"/>
    <sheet name="Permissions" sheetId="17" state="visible" r:id="rId19"/>
    <sheet name="Open questions" sheetId="18" state="visible" r:id="rId20"/>
  </sheets>
  <definedNames>
    <definedName function="false" hidden="false" localSheetId="1" name="_xlnm.Print_Titles" vbProcedure="false">Business!$1:$1</definedName>
    <definedName function="false" hidden="true" localSheetId="1" name="_xlnm._FilterDatabase" vbProcedure="false">Business!$A$1:$D$29</definedName>
    <definedName function="false" hidden="false" localSheetId="14" name="_xlnm.Print_Titles" vbProcedure="false">Decisions!$1:$1</definedName>
    <definedName function="false" hidden="true" localSheetId="14" name="_xlnm._FilterDatabase" vbProcedure="false">Decisions!$A$1:$C$6</definedName>
    <definedName function="false" hidden="false" localSheetId="15" name="_xlnm.Print_Titles" vbProcedure="false">'Error codes'!$1:$1</definedName>
    <definedName function="false" hidden="true" localSheetId="15" name="_xlnm._FilterDatabase" vbProcedure="false">'Error codes'!$A$1:$C$48</definedName>
    <definedName function="false" hidden="false" localSheetId="6" name="_xlnm.Print_Titles" vbProcedure="false">Flows!$1:$1</definedName>
    <definedName function="false" hidden="true" localSheetId="6" name="_xlnm._FilterDatabase" vbProcedure="false">Flows!$A$1:$D$18</definedName>
    <definedName function="false" hidden="false" localSheetId="4" name="_xlnm.Print_Titles" vbProcedure="false">Glossary!$1:$1</definedName>
    <definedName function="false" hidden="true" localSheetId="4" name="_xlnm._FilterDatabase" vbProcedure="false">Glossary!$A$1:$C$62</definedName>
    <definedName function="false" hidden="false" localSheetId="13" name="_xlnm.Print_Titles" vbProcedure="false">'Known problems'!$1:$1</definedName>
    <definedName function="false" hidden="true" localSheetId="13" name="_xlnm._FilterDatabase" vbProcedure="false">'Known problems'!$A$1:$B$15</definedName>
    <definedName function="false" hidden="false" localSheetId="5" name="_xlnm.Print_Titles" vbProcedure="false">Menu!$1:$1</definedName>
    <definedName function="false" hidden="true" localSheetId="5" name="_xlnm._FilterDatabase" vbProcedure="false">Menu!$A$1:$C$48</definedName>
    <definedName function="false" hidden="false" localSheetId="8" name="_xlnm.Print_Titles" vbProcedure="false">'Movement types'!$1:$1</definedName>
    <definedName function="false" hidden="true" localSheetId="8" name="_xlnm._FilterDatabase" vbProcedure="false">'Movement types'!$A$1:$D$9</definedName>
    <definedName function="false" hidden="false" localSheetId="12" name="_xlnm.Print_Titles" vbProcedure="false">Next!$1:$1</definedName>
    <definedName function="false" hidden="true" localSheetId="12" name="_xlnm._FilterDatabase" vbProcedure="false">Next!$A$1:$D$9</definedName>
    <definedName function="false" hidden="false" localSheetId="17" name="_xlnm.Print_Titles" vbProcedure="false">'Open questions'!$1:$1</definedName>
    <definedName function="false" hidden="true" localSheetId="17" name="_xlnm._FilterDatabase" vbProcedure="false">'Open questions'!$A$1:$C$19</definedName>
    <definedName function="false" hidden="false" localSheetId="16" name="_xlnm.Print_Titles" vbProcedure="false">Permissions!$1:$1</definedName>
    <definedName function="false" hidden="true" localSheetId="16" name="_xlnm._FilterDatabase" vbProcedure="false">Permissions!$A$1:$C$15</definedName>
    <definedName function="false" hidden="false" localSheetId="2" name="_xlnm.Print_Titles" vbProcedure="false">Ports!$1:$1</definedName>
    <definedName function="false" hidden="true" localSheetId="2" name="_xlnm._FilterDatabase" vbProcedure="false">Ports!$A$1:$E$10</definedName>
    <definedName function="false" hidden="false" localSheetId="10" name="_xlnm.Print_Titles" vbProcedure="false">Prompts!$1:$1</definedName>
    <definedName function="false" hidden="true" localSheetId="10" name="_xlnm._FilterDatabase" vbProcedure="false">Prompts!$A$1:$D$19</definedName>
    <definedName function="false" hidden="false" localSheetId="3" name="_xlnm.Print_Titles" vbProcedure="false">Roles!$1:$1</definedName>
    <definedName function="false" hidden="true" localSheetId="3" name="_xlnm._FilterDatabase" vbProcedure="false">Roles!$A$1:$C$10</definedName>
    <definedName function="false" hidden="false" localSheetId="9" name="_xlnm.Print_Titles" vbProcedure="false">Rules!$1:$1</definedName>
    <definedName function="false" hidden="true" localSheetId="9" name="_xlnm._FilterDatabase" vbProcedure="false">Rules!$A$1:$D$70</definedName>
    <definedName function="false" hidden="false" localSheetId="11" name="_xlnm.Print_Titles" vbProcedure="false">Scripts!$1:$1</definedName>
    <definedName function="false" hidden="true" localSheetId="11" name="_xlnm._FilterDatabase" vbProcedure="false">Scripts!$A$1:$C$14</definedName>
    <definedName function="false" hidden="false" localSheetId="7" name="_xlnm.Print_Titles" vbProcedure="false">Statuses!$1:$1</definedName>
    <definedName function="false" hidden="true" localSheetId="7" name="_xlnm._FilterDatabase" vbProcedure="false">Statuses!$A$1:$E$26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<sst xmlns="http://schemas.openxmlformats.org/spreadsheetml/2006/main" count="1394" uniqueCount="913">
  <si>
    <t xml:space="preserve">Inventory &amp; Shipment — business handoff</t>
  </si>
  <si>
    <t xml:space="preserve">Katanga TVS Motor Company · written 7 October 2026 · the tables of the handoff document (Inventory_Shipment_Handoff.md)</t>
  </si>
  <si>
    <t xml:space="preserve">Rows marked Unsure / Inferred / Unknown need checking in the code. The full text, the prompt-writing guide and the example prompt are in the .md file.</t>
  </si>
  <si>
    <t xml:space="preserve">Sheet</t>
  </si>
  <si>
    <t xml:space="preserve">What it holds</t>
  </si>
  <si>
    <t xml:space="preserve">Rows</t>
  </si>
  <si>
    <t xml:space="preserve">Business</t>
  </si>
  <si>
    <t xml:space="preserve">Company, purchases and sales, routes, branches, currencies, team (section 1)</t>
  </si>
  <si>
    <t xml:space="preserve">Ports</t>
  </si>
  <si>
    <t xml:space="preserve">Ports master data and their role (section 1.3)</t>
  </si>
  <si>
    <t xml:space="preserve">Roles</t>
  </si>
  <si>
    <t xml:space="preserve">Who uses the system and what each role does (section 1.6)</t>
  </si>
  <si>
    <t xml:space="preserve">Glossary</t>
  </si>
  <si>
    <t xml:space="preserve">Business terms and abbreviations (section 2)</t>
  </si>
  <si>
    <t xml:space="preserve">Menu</t>
  </si>
  <si>
    <t xml:space="preserve">Menu map and known web routes (section 3.1)</t>
  </si>
  <si>
    <t xml:space="preserve">Flows</t>
  </si>
  <si>
    <t xml:space="preserve">End-to-end flows step by step (section 3.9)</t>
  </si>
  <si>
    <t xml:space="preserve">Statuses</t>
  </si>
  <si>
    <t xml:space="preserve">Document and object statuses with their codes (section 3.10)</t>
  </si>
  <si>
    <t xml:space="preserve">Movement types</t>
  </si>
  <si>
    <t xml:space="preserve">Movement types, stages and their effect on containers (section 3.5)</t>
  </si>
  <si>
    <t xml:space="preserve">Rules</t>
  </si>
  <si>
    <t xml:space="preserve">Every business rule with its status (section 4)</t>
  </si>
  <si>
    <t xml:space="preserve">Prompts</t>
  </si>
  <si>
    <t xml:space="preserve">The prompts from the first to the latest (section 5)</t>
  </si>
  <si>
    <t xml:space="preserve">Scripts</t>
  </si>
  <si>
    <t xml:space="preserve">SQL script numbers known (section 5.4)</t>
  </si>
  <si>
    <t xml:space="preserve">Next</t>
  </si>
  <si>
    <t xml:space="preserve">Planned prompts in the recommended order (section 6.1)</t>
  </si>
  <si>
    <t xml:space="preserve">Known problems</t>
  </si>
  <si>
    <t xml:space="preserve">Known problems and what to do (section 6.3)</t>
  </si>
  <si>
    <t xml:space="preserve">Decisions</t>
  </si>
  <si>
    <t xml:space="preserve">Decisions still pending, with the options (section 6.4)</t>
  </si>
  <si>
    <t xml:space="preserve">Error codes</t>
  </si>
  <si>
    <t xml:space="preserve">SQL error numbers and their meaning (section 7.3)</t>
  </si>
  <si>
    <t xml:space="preserve">Permissions</t>
  </si>
  <si>
    <t xml:space="preserve">Permission codes known (section 3.8)</t>
  </si>
  <si>
    <t xml:space="preserve">Open questions</t>
  </si>
  <si>
    <t xml:space="preserve">Everything marked unsure, and where to check</t>
  </si>
  <si>
    <t xml:space="preserve">Total rows</t>
  </si>
  <si>
    <t xml:space="preserve">Section</t>
  </si>
  <si>
    <t xml:space="preserve">Topic</t>
  </si>
  <si>
    <t xml:space="preserve">Detail</t>
  </si>
  <si>
    <t xml:space="preserve">Certainty</t>
  </si>
  <si>
    <t xml:space="preserve">1.1 Company</t>
  </si>
  <si>
    <t xml:space="preserve">Name</t>
  </si>
  <si>
    <t xml:space="preserve">Katanga TVS Motor Company</t>
  </si>
  <si>
    <t xml:space="preserve">Sure</t>
  </si>
  <si>
    <t xml:space="preserve">Activity</t>
  </si>
  <si>
    <t xml:space="preserve">Distributor of TVS motorcycles in the Democratic Republic of Congo (CD), former Katanga region (Lubumbashi, Likasi, Kolwezi)</t>
  </si>
  <si>
    <t xml:space="preserve">Sign-in page</t>
  </si>
  <si>
    <t xml:space="preserve">"Sign in to continue to Katanga TVS System"; "Katanga TVS is committed to delivering reliable, stylish and high-performance motorcycles that move lives forward."</t>
  </si>
  <si>
    <t xml:space="preserve">Footer</t>
  </si>
  <si>
    <t xml:space="preserve">© 2026 Katanga TVS Motor Company · Powered by MAY solutions · Inspired by Mr. Issa Awada</t>
  </si>
  <si>
    <t xml:space="preserve">Application</t>
  </si>
  <si>
    <t xml:space="preserve">Inventory &amp; Shipment: ERP for purchasing, imports in containers, stock and costing, sales and customer payments</t>
  </si>
  <si>
    <t xml:space="preserve">1.2 Buys</t>
  </si>
  <si>
    <t xml:space="preserve">Main supplier</t>
  </si>
  <si>
    <t xml:space="preserve">TVS Motor Company, India (supplier code SUP-0001)</t>
  </si>
  <si>
    <t xml:space="preserve">Imports</t>
  </si>
  <si>
    <t xml:space="preserve">By sea in containers, mostly 40HC (40 ft High Cube); one container holds a fixed number of one model (e.g. 84) = the item's Container unit</t>
  </si>
  <si>
    <t xml:space="preserve">Oil</t>
  </si>
  <si>
    <t xml:space="preserve">Motorcycles may travel with oil: container line "Oil included" + oil quantity per unit (information only)</t>
  </si>
  <si>
    <t xml:space="preserve">Local purchases</t>
  </si>
  <si>
    <t xml:space="preserve">No container: the supplier invoice is received directly, with its own charges</t>
  </si>
  <si>
    <t xml:space="preserve">1.2 Sells</t>
  </si>
  <si>
    <t xml:space="preserve">Customers</t>
  </si>
  <si>
    <t xml:space="preserve">Sales invoices; payments collected through Receipts (cash or bank). Who the customers are (dealers, retail) is not known</t>
  </si>
  <si>
    <t xml:space="preserve">Unsure</t>
  </si>
  <si>
    <t xml:space="preserve">Items</t>
  </si>
  <si>
    <t xml:space="preserve">Motorcycle models for sure; spare parts and oil likely</t>
  </si>
  <si>
    <t xml:space="preserve">Expiry dates</t>
  </si>
  <si>
    <t xml:space="preserve">Invoice lines can carry an expiry date (lines of the same item can differ by warehouse or expiry date); how expiry is used is not known</t>
  </si>
  <si>
    <t xml:space="preserve">1.3 Routes</t>
  </si>
  <si>
    <t xml:space="preserve">Typical import route</t>
  </si>
  <si>
    <t xml:space="preserve">SEA Chennai → Dar es Salaam; INLAND Dar es Salaam → Kasumbalesa; CUSTOMS at Kasumbalesa; DELIVERY Kasumbalesa → Lubumbashi; offload into the warehouse</t>
  </si>
  <si>
    <t xml:space="preserve">FERI</t>
  </si>
  <si>
    <t xml:space="preserve">DRC imports need a FERI (electronic cargo tracking note)</t>
  </si>
  <si>
    <t xml:space="preserve">Free days</t>
  </si>
  <si>
    <t xml:space="preserve">The shipping line allows free days at the port; after them it charges demurrage</t>
  </si>
  <si>
    <t xml:space="preserve">1.4 Branches</t>
  </si>
  <si>
    <t xml:space="preserve">BR-003</t>
  </si>
  <si>
    <t xml:space="preserve">Likasi Branch, warehouse "Likasi Warehouse" (seen in PINV-BR-003-000011)</t>
  </si>
  <si>
    <t xml:space="preserve">BR-002</t>
  </si>
  <si>
    <t xml:space="preserve">Another branch, probably Lubumbashi (seen in PO-BR-002-000042)</t>
  </si>
  <si>
    <t xml:space="preserve">BR-001 / head office</t>
  </si>
  <si>
    <t xml:space="preserve">Existence not known</t>
  </si>
  <si>
    <t xml:space="preserve">Warehouses</t>
  </si>
  <si>
    <t xml:space="preserve">Belong to a branch; a warehouse can stand under another warehouse (hierarchy, by Ali)</t>
  </si>
  <si>
    <t xml:space="preserve">Offloading warehouse</t>
  </si>
  <si>
    <t xml:space="preserve">A container's offloading warehouse must belong to the container's branch</t>
  </si>
  <si>
    <t xml:space="preserve">1.5 Currencies</t>
  </si>
  <si>
    <t xml:space="preserve">Base currency</t>
  </si>
  <si>
    <t xml:space="preserve">USD; a USD document shows "Exchange Rate 1 (base currency)"; every amount also stored in base (…Base columns)</t>
  </si>
  <si>
    <t xml:space="preserve">Other currencies</t>
  </si>
  <si>
    <t xml:space="preserve">Document currency with a Rate Type (e.g. "Official") and the exchange rate of the date from Master Data › Exchange Rates, editable</t>
  </si>
  <si>
    <t xml:space="preserve">CDF and others</t>
  </si>
  <si>
    <t xml:space="preserve">CDF (Congolese franc) very likely defined; others not known</t>
  </si>
  <si>
    <t xml:space="preserve">Sales invoice currency</t>
  </si>
  <si>
    <t xml:space="preserve">A sales invoice can have its own currency (Ali)</t>
  </si>
  <si>
    <t xml:space="preserve">1.7 Team</t>
  </si>
  <si>
    <t xml:space="preserve">Bilal</t>
  </si>
  <si>
    <t xml:space="preserve">Developer and contact with the business; Ubuntu, VS Code + Claude Code ("VS Code Claude"); folders ~/VSProjects/InventoryShipment-Project/Inventory_Shipment (API) and …/Inventory_Shipment.Web</t>
  </si>
  <si>
    <t xml:space="preserve">Ali ("AJ")</t>
  </si>
  <si>
    <t xml:space="preserve">Colleague on Windows, Visual Studio + IIS Express, C:\GitProjects\Inventory_Shipment; wrote Sales / Receipts / Settings and SQL scripts 29–41</t>
  </si>
  <si>
    <t xml:space="preserve">Prompt writer</t>
  </si>
  <si>
    <t xml:space="preserve">Writes the business specification as prompt files (this role moves to the new session)</t>
  </si>
  <si>
    <t xml:space="preserve">VS Code Claude</t>
  </si>
  <si>
    <t xml:space="preserve">Implements the prompts, writes the SQL from the specification, applies, tests, reports; Bilal pastes the reports back</t>
  </si>
  <si>
    <t xml:space="preserve">Code</t>
  </si>
  <si>
    <t xml:space="preserve">Place</t>
  </si>
  <si>
    <t xml:space="preserve">Country</t>
  </si>
  <si>
    <t xml:space="preserve">Kind</t>
  </si>
  <si>
    <t xml:space="preserve">Role</t>
  </si>
  <si>
    <t xml:space="preserve">INMAA</t>
  </si>
  <si>
    <t xml:space="preserve">Chennai</t>
  </si>
  <si>
    <t xml:space="preserve">India</t>
  </si>
  <si>
    <t xml:space="preserve">Sea</t>
  </si>
  <si>
    <t xml:space="preserve">Port of loading for TVS</t>
  </si>
  <si>
    <t xml:space="preserve">INNSA</t>
  </si>
  <si>
    <t xml:space="preserve">Nhava Sheva</t>
  </si>
  <si>
    <t xml:space="preserve">CNSHA</t>
  </si>
  <si>
    <t xml:space="preserve">Shanghai</t>
  </si>
  <si>
    <t xml:space="preserve">China</t>
  </si>
  <si>
    <t xml:space="preserve">TZDAR</t>
  </si>
  <si>
    <t xml:space="preserve">Dar es Salaam</t>
  </si>
  <si>
    <t xml:space="preserve">Tanzania</t>
  </si>
  <si>
    <t xml:space="preserve">Arrival port</t>
  </si>
  <si>
    <t xml:space="preserve">ZADUR</t>
  </si>
  <si>
    <t xml:space="preserve">Durban</t>
  </si>
  <si>
    <t xml:space="preserve">South Africa</t>
  </si>
  <si>
    <t xml:space="preserve">MZBEW</t>
  </si>
  <si>
    <t xml:space="preserve">Beira</t>
  </si>
  <si>
    <t xml:space="preserve">Mozambique</t>
  </si>
  <si>
    <t xml:space="preserve">ZMKAS</t>
  </si>
  <si>
    <t xml:space="preserve">Kasumbalesa</t>
  </si>
  <si>
    <t xml:space="preserve">Zambia (DRC border post)</t>
  </si>
  <si>
    <t xml:space="preserve">Border</t>
  </si>
  <si>
    <t xml:space="preserve">Border crossing and customs</t>
  </si>
  <si>
    <t xml:space="preserve">CDLUB</t>
  </si>
  <si>
    <t xml:space="preserve">Lubumbashi</t>
  </si>
  <si>
    <t xml:space="preserve">DR Congo</t>
  </si>
  <si>
    <t xml:space="preserve">Inland</t>
  </si>
  <si>
    <t xml:space="preserve">Warehouse delivery</t>
  </si>
  <si>
    <t xml:space="preserve">CDKLW</t>
  </si>
  <si>
    <t xml:space="preserve">Kolwezi</t>
  </si>
  <si>
    <t xml:space="preserve">What it does (as designed)</t>
  </si>
  <si>
    <t xml:space="preserve">System administrator</t>
  </si>
  <si>
    <t xml:space="preserve">System role (IsSystem = 1); user "Admin", shown "System Administrator". Holds every permission; sets up master data, users, roles, settings (email, purchase approval), document types.</t>
  </si>
  <si>
    <t xml:space="preserve">Owner</t>
  </si>
  <si>
    <t xml:space="preserve">Approver candidate; receives a copy of approved purchase orders (setting). No user has this role in Bilal's local database yet.</t>
  </si>
  <si>
    <t xml:space="preserve">Manager</t>
  </si>
  <si>
    <t xml:space="preserve">By default: view, create, confirm and offload containers; manage movements and documents; view and create container charges. Approver candidate. Test user manager1 ("Manager One").</t>
  </si>
  <si>
    <t xml:space="preserve">Purchasing / buyer</t>
  </si>
  <si>
    <t xml:space="preserve">Creates purchase orders and sends them for approval. Test user buyer1. Real role name not known.</t>
  </si>
  <si>
    <t xml:space="preserve">Logistics</t>
  </si>
  <si>
    <t xml:space="preserve">Plans containers (Auto-plan), types container and seal numbers, starts shipments, records movements, enters charges, attaches documents.</t>
  </si>
  <si>
    <t xml:space="preserve">As designed; job title unconfirmed</t>
  </si>
  <si>
    <t xml:space="preserve">Accounting</t>
  </si>
  <si>
    <t xml:space="preserve">Posts supplier invoices and charges, landed cost adjustments; follows costs, stock valuation, sales profit.</t>
  </si>
  <si>
    <t xml:space="preserve">Warehouse</t>
  </si>
  <si>
    <t xml:space="preserve">Offloads containers (received quantities, reason when they differ); Inventory In / Inventory Out.</t>
  </si>
  <si>
    <t xml:space="preserve">Sales / cashier</t>
  </si>
  <si>
    <t xml:space="preserve">Sales invoices, receipts, customer statements, out-of-stock sales.</t>
  </si>
  <si>
    <t xml:space="preserve">(note)</t>
  </si>
  <si>
    <t xml:space="preserve">Approvers are no longer taken from a role: they are ticked per user in Settings › Purchase approval.</t>
  </si>
  <si>
    <t xml:space="preserve">Term</t>
  </si>
  <si>
    <t xml:space="preserve">Category</t>
  </si>
  <si>
    <t xml:space="preserve">Meaning here</t>
  </si>
  <si>
    <t xml:space="preserve">PO</t>
  </si>
  <si>
    <t xml:space="preserve">Documents</t>
  </si>
  <si>
    <t xml:space="preserve">Purchase order; number like PO-BR-002-000042 (prefix, branch, sequence).</t>
  </si>
  <si>
    <t xml:space="preserve">PINV</t>
  </si>
  <si>
    <t xml:space="preserve">Purchase (supplier) invoice, PINV-BR-003-000011; the number is given at posting, a draft has none.</t>
  </si>
  <si>
    <t xml:space="preserve">PRET</t>
  </si>
  <si>
    <t xml:space="preserve">Purchase return, created from a posted PINV.</t>
  </si>
  <si>
    <t xml:space="preserve">SINV / SRET</t>
  </si>
  <si>
    <t xml:space="preserve">Sales invoice / sales return; exact codes in inventory.DocumentTypes not known; no sales-return menu seen.</t>
  </si>
  <si>
    <t xml:space="preserve">Receipt</t>
  </si>
  <si>
    <t xml:space="preserve">A customer payment (Sales › Receipts), with a payment method and a cash or bank account.</t>
  </si>
  <si>
    <t xml:space="preserve">Exporter's Ref.</t>
  </si>
  <si>
    <t xml:space="preserve">The exporter's reference; required to post an imported / shipped-in-containers invoice (65018).</t>
  </si>
  <si>
    <t xml:space="preserve">Commercial invoice no.</t>
  </si>
  <si>
    <t xml:space="preserve">The supplier's invoice number, typed on the PI.</t>
  </si>
  <si>
    <t xml:space="preserve">Supplier reference</t>
  </si>
  <si>
    <t xml:space="preserve">Free reference on the PI.</t>
  </si>
  <si>
    <t xml:space="preserve">Receipt mode</t>
  </si>
  <si>
    <t xml:space="preserve">On a purchase invoice: 1 = stock in when posted (local); 2 = stock in at the container offload ("Shipped in containers").</t>
  </si>
  <si>
    <t xml:space="preserve">Shipped in containers</t>
  </si>
  <si>
    <t xml:space="preserve">PI switch for receipt mode 2; on by default when the order has containers; locked while lines are linked (65026).</t>
  </si>
  <si>
    <t xml:space="preserve">Link / Unlink (containers)</t>
  </si>
  <si>
    <t xml:space="preserve">On a PI: which pieces travel in which container; each invoice line points to one container line (ContainerLineId); only before the container moves (Draft or Confirmed).</t>
  </si>
  <si>
    <t xml:space="preserve">LCA</t>
  </si>
  <si>
    <t xml:space="preserve">Costing</t>
  </si>
  <si>
    <t xml:space="preserve">Landed Cost Adjustment (script 23): late charges on a posted local invoice; in stock → average cost, sold → COGS; refused on imported invoices (67012).</t>
  </si>
  <si>
    <t xml:space="preserve">FOB</t>
  </si>
  <si>
    <t xml:space="preserve">Purchase price of the goods loaded on board, before the costs of the journey; from the posted supplier invoice.</t>
  </si>
  <si>
    <t xml:space="preserve">Landed cost</t>
  </si>
  <si>
    <t xml:space="preserve">FOB + charges: imports = FOB per piece + posted charges on the line ÷ pieces received.</t>
  </si>
  <si>
    <t xml:space="preserve">Charge</t>
  </si>
  <si>
    <t xml:space="preserve">A cost of the import or purchase (freight, insurance, clearing, port fees, transport, storage, demurrage); imports on containers, local on the invoice.</t>
  </si>
  <si>
    <t xml:space="preserve">Charge type</t>
  </si>
  <si>
    <t xml:space="preserve">Master data (Purchase › Charge Types): default allocation method and whether the charge enters the cost.</t>
  </si>
  <si>
    <t xml:space="preserve">Split rule</t>
  </si>
  <si>
    <t xml:space="preserve">Dividing one charge between containers: Same (full amount each), Equal, Pieces (default), Value.</t>
  </si>
  <si>
    <t xml:space="preserve">Allocation method</t>
  </si>
  <si>
    <t xml:space="preserve">Dividing a container's charge over its items: Value, Quantity, Weight, Volume, Manual; cents to the largest remainders.</t>
  </si>
  <si>
    <t xml:space="preserve">Charge group</t>
  </si>
  <si>
    <t xml:space="preserve">Charges created together or copied share a GroupId; the provider's invoice is attached once.</t>
  </si>
  <si>
    <t xml:space="preserve">Late charge / cost adjustment</t>
  </si>
  <si>
    <t xml:space="preserve">A charge posted or cancelled after the offload, or on a posted local invoice; inventory.CostAdjustments (SourceKind CNTCHARGE for containers).</t>
  </si>
  <si>
    <t xml:space="preserve">COGS</t>
  </si>
  <si>
    <t xml:space="preserve">Cost of goods sold; sales take stock out at average cost.</t>
  </si>
  <si>
    <t xml:space="preserve">Average cost</t>
  </si>
  <si>
    <t xml:space="preserve">Weighted average cost per item, updated at every receipt and cost adjustment; items also keep last cost and FOB cost.</t>
  </si>
  <si>
    <t xml:space="preserve">Container</t>
  </si>
  <si>
    <t xml:space="preserve">Containers</t>
  </si>
  <si>
    <t xml:space="preserve">A shipping container created from a purchase order; reference KTG-2026-0031 (type CNT: prefix KTG, year, 4 digits).</t>
  </si>
  <si>
    <t xml:space="preserve">Container No.</t>
  </si>
  <si>
    <t xml:space="preserve">The real box number, 4 letters + 7 digits (e.g. MSKU1234565); unique among open containers (69013).</t>
  </si>
  <si>
    <t xml:space="preserve">Seal No.</t>
  </si>
  <si>
    <t xml:space="preserve">The number of the seal closing the doors.</t>
  </si>
  <si>
    <t xml:space="preserve">Container type</t>
  </si>
  <si>
    <t xml:space="preserve">20GP (inactive) and 40HC (active), with Max Weight (kg) and Max Volume (CBM); Max Units being removed (prompt 46).</t>
  </si>
  <si>
    <t xml:space="preserve">Container unit</t>
  </si>
  <si>
    <t xml:space="preserve">Item Definition › units: the container unit (UnitTypes.IsContainer = 1); its packing formula = pieces per container; the only source of capacity (prompt 46).</t>
  </si>
  <si>
    <t xml:space="preserve">Base unit / pieces</t>
  </si>
  <si>
    <t xml:space="preserve">The smallest unit (PC); container quantities are always in base units.</t>
  </si>
  <si>
    <t xml:space="preserve">Auto-plan</t>
  </si>
  <si>
    <t xml:space="preserve">On an approved PO: the app proposes all containers filled from the order lines; edit; create all at once (all or nothing, max 200).</t>
  </si>
  <si>
    <t xml:space="preserve">Mix the rest</t>
  </si>
  <si>
    <t xml:space="preserve">Auto-plan option: the rests of lines share containers; off = each rest gets its own container.</t>
  </si>
  <si>
    <t xml:space="preserve">Fill % / equivalent capacity</t>
  </si>
  <si>
    <t xml:space="preserve">Σ quantity ÷ pieces per container of each item (prompt 46).</t>
  </si>
  <si>
    <t xml:space="preserve">Over capacity</t>
  </si>
  <si>
    <t xml:space="preserve">Fill above 100%: a warning only "Load Above Capacity" can confirm (69007).</t>
  </si>
  <si>
    <t xml:space="preserve">Confirm (container)</t>
  </si>
  <si>
    <t xml:space="preserve">The loading plan is agreed: Draft → Confirmed.</t>
  </si>
  <si>
    <t xml:space="preserve">Offload</t>
  </si>
  <si>
    <t xml:space="preserve">Receiving a container's goods into stock at landed cost; reason when received ≠ loaded; re-offload tag KTG-…/2.</t>
  </si>
  <si>
    <t xml:space="preserve">Close / Reopen</t>
  </si>
  <si>
    <t xml:space="preserve">Close when every charge is posted (read-only); Reopen for a late charge.</t>
  </si>
  <si>
    <t xml:space="preserve">Movement</t>
  </si>
  <si>
    <t xml:space="preserve">Shipping</t>
  </si>
  <si>
    <t xml:space="preserve">One leg of the journey, MOV-2026-000046; Planned → In progress → Completed, or Cancelled.</t>
  </si>
  <si>
    <t xml:space="preserve">Stage</t>
  </si>
  <si>
    <t xml:space="preserve">What a movement type does to its containers: Origin, Sea, Transit, Port, Border, Customs, Delivery.</t>
  </si>
  <si>
    <t xml:space="preserve">Start shipment</t>
  </si>
  <si>
    <t xml:space="preserve">From selected containers: one movement (default SEA) created and started at once; vessel, voyage, B/L, ETA copied.</t>
  </si>
  <si>
    <t xml:space="preserve">Place of a container</t>
  </si>
  <si>
    <t xml:space="preserve">The To of its previous movement (prompt 43); never moved = its port of loading (prompt 45).</t>
  </si>
  <si>
    <t xml:space="preserve">B/L</t>
  </si>
  <si>
    <t xml:space="preserve">Bill of lading; one B/L can cover several containers.</t>
  </si>
  <si>
    <t xml:space="preserve">Booking No.</t>
  </si>
  <si>
    <t xml:space="preserve">The shipping line's reservation number.</t>
  </si>
  <si>
    <t xml:space="preserve">ETA</t>
  </si>
  <si>
    <t xml:space="preserve">Estimated time of arrival; red "Late" badge when passed and the movement isn't completed.</t>
  </si>
  <si>
    <t xml:space="preserve">Free days / last free day</t>
  </si>
  <si>
    <t xml:space="preserve">Days at the port without demurrage from the actual port arrival; red "free time over" badge after.</t>
  </si>
  <si>
    <t xml:space="preserve">Demurrage</t>
  </si>
  <si>
    <t xml:space="preserve">Shipping-line fee after the free days.</t>
  </si>
  <si>
    <t xml:space="preserve">Forwarder / transporter / shipping line / carrier</t>
  </si>
  <si>
    <t xml:space="preserve">Parties (Master Data › Parties) used on containers and movements.</t>
  </si>
  <si>
    <t xml:space="preserve">Transshipment</t>
  </si>
  <si>
    <t xml:space="preserve">Moving a container to another vessel at an intermediate port.</t>
  </si>
  <si>
    <t xml:space="preserve">Electronic cargo tracking note required for DRC imports (a container field).</t>
  </si>
  <si>
    <t xml:space="preserve">Shortage</t>
  </si>
  <si>
    <t xml:space="preserve">Stock &amp; sales</t>
  </si>
  <si>
    <t xml:space="preserve">Inventory › Shortages (script 25, fn_Shortage_Live): what is missing vs what is on the way; exact formula not known.</t>
  </si>
  <si>
    <t xml:space="preserve">Out-of-stock sale</t>
  </si>
  <si>
    <t xml:space="preserve">A sale above stock, allowed only with "Allow selling out-of-stock items"; Sales › Out-of-Stock Sales (Ali).</t>
  </si>
  <si>
    <t xml:space="preserve">Date tolerance</t>
  </si>
  <si>
    <t xml:space="preserve">Sales-invoice rule by Ali: how far a document date may be from today (not known exactly).</t>
  </si>
  <si>
    <t xml:space="preserve">Payment type</t>
  </si>
  <si>
    <t xml:space="preserve">On sales invoices (Ali), probably cash / credit (not known exactly).</t>
  </si>
  <si>
    <t xml:space="preserve">Approver (in the app / by email)</t>
  </si>
  <si>
    <t xml:space="preserve">Approval &amp; email</t>
  </si>
  <si>
    <t xml:space="preserve">Users ticked in Settings › Purchase approval; in the app = Approve / Reject; by email = personal link to the public approval page.</t>
  </si>
  <si>
    <t xml:space="preserve">Requester</t>
  </si>
  <si>
    <t xml:space="preserve">The person who sent the order for approval.</t>
  </si>
  <si>
    <t xml:space="preserve">Create &amp; send / Create &amp; approve / Approve &amp; post</t>
  </si>
  <si>
    <t xml:space="preserve">Save as draft and send / approve a new order at once / approve an existing draft at once.</t>
  </si>
  <si>
    <t xml:space="preserve">Send again / Withdraw</t>
  </si>
  <si>
    <t xml:space="preserve">Resend the request with new links / take the order back to draft.</t>
  </si>
  <si>
    <t xml:space="preserve">Approval link (token)</t>
  </si>
  <si>
    <t xml:space="preserve">Personal, single use, valid N hours (default 72); opening it never decides; one click on /purchase-approval/:token.</t>
  </si>
  <si>
    <t xml:space="preserve">Email outbox / Email log</t>
  </si>
  <si>
    <t xml:space="preserve">messaging.EmailOutbox sent by a background worker; Settings › Email log (Pending / Sent / Failed).</t>
  </si>
  <si>
    <t xml:space="preserve">Schema.sql</t>
  </si>
  <si>
    <t xml:space="preserve">Project</t>
  </si>
  <si>
    <t xml:space="preserve">Inventory_Shipment.Repository/Database/Schema.sql: every script appended in order, re-applied at every API start.</t>
  </si>
  <si>
    <t xml:space="preserve">Batch</t>
  </si>
  <si>
    <t xml:space="preserve">A group of prompt steps: batch 8 = prompt 32, 9 = 33, 10 = 34/36, 11 = 37.</t>
  </si>
  <si>
    <t xml:space="preserve">A / B steps</t>
  </si>
  <si>
    <t xml:space="preserve">A1, A2… run in the API project; B1, B2… in the Web project.</t>
  </si>
  <si>
    <t xml:space="preserve">TEST-NN data</t>
  </si>
  <si>
    <t xml:space="preserve">Test data created while verifying prompt NN; VS Code Claude reports what is left.</t>
  </si>
  <si>
    <t xml:space="preserve">Area</t>
  </si>
  <si>
    <t xml:space="preserve">Page</t>
  </si>
  <si>
    <t xml:space="preserve">Route / note</t>
  </si>
  <si>
    <t xml:space="preserve">Main</t>
  </si>
  <si>
    <t xml:space="preserve">Dashboard</t>
  </si>
  <si>
    <t xml:space="preserve">Inventory</t>
  </si>
  <si>
    <t xml:space="preserve">Item Definition</t>
  </si>
  <si>
    <t xml:space="preserve">Price Lists</t>
  </si>
  <si>
    <t xml:space="preserve">Inventory In</t>
  </si>
  <si>
    <t xml:space="preserve">Inventory Out</t>
  </si>
  <si>
    <t xml:space="preserve">Stock Valuation</t>
  </si>
  <si>
    <t xml:space="preserve">Shortages</t>
  </si>
  <si>
    <t xml:space="preserve">Purchase</t>
  </si>
  <si>
    <t xml:space="preserve">Purchase Orders</t>
  </si>
  <si>
    <t xml:space="preserve">Approvals</t>
  </si>
  <si>
    <t xml:space="preserve">Red count of orders waiting for me</t>
  </si>
  <si>
    <t xml:space="preserve">Purchase Invoices</t>
  </si>
  <si>
    <t xml:space="preserve">/purchase/invoices/:id</t>
  </si>
  <si>
    <t xml:space="preserve">Purchase Returns</t>
  </si>
  <si>
    <t xml:space="preserve">Landed Cost Adjustments</t>
  </si>
  <si>
    <t xml:space="preserve">Charge Types</t>
  </si>
  <si>
    <t xml:space="preserve">Movements</t>
  </si>
  <si>
    <t xml:space="preserve">/logistics/movements/new, /logistics/movements/:id</t>
  </si>
  <si>
    <t xml:space="preserve">Container Charges</t>
  </si>
  <si>
    <t xml:space="preserve">Tracking</t>
  </si>
  <si>
    <t xml:space="preserve">Sales</t>
  </si>
  <si>
    <t xml:space="preserve">Sales Invoices</t>
  </si>
  <si>
    <t xml:space="preserve">Sales Profit</t>
  </si>
  <si>
    <t xml:space="preserve">Receipts</t>
  </si>
  <si>
    <t xml:space="preserve">Customer Statement</t>
  </si>
  <si>
    <t xml:space="preserve">Out-of-Stock Sales</t>
  </si>
  <si>
    <t xml:space="preserve">Backoffice › Master Data</t>
  </si>
  <si>
    <t xml:space="preserve">Branches / Sites</t>
  </si>
  <si>
    <t xml:space="preserve">Currencies</t>
  </si>
  <si>
    <t xml:space="preserve">Exchange Rates</t>
  </si>
  <si>
    <t xml:space="preserve">Item Families</t>
  </si>
  <si>
    <t xml:space="preserve">Brands</t>
  </si>
  <si>
    <t xml:space="preserve">Parties</t>
  </si>
  <si>
    <t xml:space="preserve">Unit Types</t>
  </si>
  <si>
    <t xml:space="preserve">Container Types</t>
  </si>
  <si>
    <t xml:space="preserve">/setup/master-data/container-types</t>
  </si>
  <si>
    <t xml:space="preserve">Attachment Types</t>
  </si>
  <si>
    <t xml:space="preserve">Movement Types</t>
  </si>
  <si>
    <t xml:space="preserve">Payment Methods</t>
  </si>
  <si>
    <t xml:space="preserve">Cash / Bank Accounts</t>
  </si>
  <si>
    <t xml:space="preserve">Backoffice › Users &amp; Permissions</t>
  </si>
  <si>
    <t xml:space="preserve">Users</t>
  </si>
  <si>
    <t xml:space="preserve">Role Permissions</t>
  </si>
  <si>
    <t xml:space="preserve">Login audit</t>
  </si>
  <si>
    <t xml:space="preserve">Configuration</t>
  </si>
  <si>
    <t xml:space="preserve">Document Types</t>
  </si>
  <si>
    <t xml:space="preserve">Configuration › Settings</t>
  </si>
  <si>
    <t xml:space="preserve">General</t>
  </si>
  <si>
    <t xml:space="preserve">Ali's global settings (e.g. Allow selling out-of-stock items)</t>
  </si>
  <si>
    <t xml:space="preserve">Email</t>
  </si>
  <si>
    <t xml:space="preserve">/configuration/email</t>
  </si>
  <si>
    <t xml:space="preserve">Email log</t>
  </si>
  <si>
    <t xml:space="preserve">Purchase approval</t>
  </si>
  <si>
    <t xml:space="preserve">Public</t>
  </si>
  <si>
    <t xml:space="preserve">Approval page</t>
  </si>
  <si>
    <t xml:space="preserve">/purchase-approval/:token (no sign-in)</t>
  </si>
  <si>
    <t xml:space="preserve">Flow</t>
  </si>
  <si>
    <t xml:space="preserve">Step</t>
  </si>
  <si>
    <t xml:space="preserve">Action</t>
  </si>
  <si>
    <t xml:space="preserve">A. Import</t>
  </si>
  <si>
    <t xml:space="preserve">PO draft</t>
  </si>
  <si>
    <t xml:space="preserve">Created by a buyer: supplier, branch, currency, lines with warehouse, quantity, unit price, discount %.</t>
  </si>
  <si>
    <t xml:space="preserve">Approval</t>
  </si>
  <si>
    <t xml:space="preserve">Create &amp; send / Send for approval (status 5, locked); approvers in the app and/or by email; Approved = posted (number, supplier email with PO-{number}.xlsx, copies, requester told); Rejected = back to draft with reason; under the limit or approval off = posted directly.</t>
  </si>
  <si>
    <t xml:space="preserve">Auto-plan or Add Container; container numbers and seals; confirm.</t>
  </si>
  <si>
    <t xml:space="preserve">Supplier invoice(s)</t>
  </si>
  <si>
    <t xml:space="preserve">From the containers, one per item, or invoice first then add / link containers; Exporter's Ref. required; post: no stock yet.</t>
  </si>
  <si>
    <t xml:space="preserve">Shipment</t>
  </si>
  <si>
    <t xml:space="preserve">Start shipment (SEA Chennai → Dar es Salaam), then INLAND → Kasumbalesa, CUSTOMS, DELIVERY → Lubumbashi; each movement started and completed.</t>
  </si>
  <si>
    <t xml:space="preserve">Charges and documents</t>
  </si>
  <si>
    <t xml:space="preserve">Freight, clearing, transport, port fees, demurrage on containers; split, allocated, posted; documents attached (B/L, packing list, FERI).</t>
  </si>
  <si>
    <t xml:space="preserve">At the warehouse: stock in at landed cost; average cost updated.</t>
  </si>
  <si>
    <t xml:space="preserve">Close / late charges</t>
  </si>
  <si>
    <t xml:space="preserve">Close the container; a late charge: reopen, post, cost adjusted (in stock → average cost, sold → COGS).</t>
  </si>
  <si>
    <t xml:space="preserve">Sale</t>
  </si>
  <si>
    <t xml:space="preserve">Sales invoice: stock out at average cost → COGS → Sales Profit.</t>
  </si>
  <si>
    <t xml:space="preserve">Customer payment; Customer Statement updates.</t>
  </si>
  <si>
    <t xml:space="preserve">B. Local purchase</t>
  </si>
  <si>
    <t xml:space="preserve">PO and approval</t>
  </si>
  <si>
    <t xml:space="preserve">As in A.</t>
  </si>
  <si>
    <t xml:space="preserve">Create Invoice</t>
  </si>
  <si>
    <t xml:space="preserve">From the PO, one per item, "Shipped in containers" off.</t>
  </si>
  <si>
    <t xml:space="preserve">Charges and post</t>
  </si>
  <si>
    <t xml:space="preserve">The invoice's own charges; post: stock in at FOB + charges (receipt mode 1).</t>
  </si>
  <si>
    <t xml:space="preserve">Late charges</t>
  </si>
  <si>
    <t xml:space="preserve">LCA (later "+ Add charge" on the posted invoice, prompt 38).</t>
  </si>
  <si>
    <t xml:space="preserve">Return</t>
  </si>
  <si>
    <t xml:space="preserve">PRET from the posted invoice.</t>
  </si>
  <si>
    <t xml:space="preserve">C. Sale and payment</t>
  </si>
  <si>
    <t xml:space="preserve">Sales invoice</t>
  </si>
  <si>
    <t xml:space="preserve">Currency, payment type, client address, date tolerance; out-of-stock only if allowed (Ali, details unknown).</t>
  </si>
  <si>
    <t xml:space="preserve">Customer payment, customer statement, sales profit (Ali, details unknown).</t>
  </si>
  <si>
    <t xml:space="preserve">Object</t>
  </si>
  <si>
    <t xml:space="preserve">Status</t>
  </si>
  <si>
    <t xml:space="preserve">Note</t>
  </si>
  <si>
    <t xml:space="preserve">Purchase documents (PO, PINV, PRET)</t>
  </si>
  <si>
    <t xml:space="preserve">1</t>
  </si>
  <si>
    <t xml:space="preserve">Draft</t>
  </si>
  <si>
    <t xml:space="preserve">2</t>
  </si>
  <si>
    <t xml:space="preserve">Posted</t>
  </si>
  <si>
    <t xml:space="preserve">For a PO = approved</t>
  </si>
  <si>
    <t xml:space="preserve">3</t>
  </si>
  <si>
    <t xml:space="preserve">Cancelled</t>
  </si>
  <si>
    <t xml:space="preserve">4</t>
  </si>
  <si>
    <t xml:space="preserve">Closed</t>
  </si>
  <si>
    <t xml:space="preserve">A PO auto-closes when fully invoiced, or is closed by hand</t>
  </si>
  <si>
    <t xml:space="preserve">5</t>
  </si>
  <si>
    <t xml:space="preserve">Waiting for approval</t>
  </si>
  <si>
    <t xml:space="preserve">PO only, locked</t>
  </si>
  <si>
    <t xml:space="preserve">Created from a PO (Add Container or Auto-plan)</t>
  </si>
  <si>
    <t xml:space="preserve">Confirmed</t>
  </si>
  <si>
    <t xml:space="preserve">Confirm, or automatically when a shipment starts</t>
  </si>
  <si>
    <t xml:space="preserve">In Transit</t>
  </si>
  <si>
    <t xml:space="preserve">Sea / transshipment / inland / border movement started, or Dispatch Date typed</t>
  </si>
  <si>
    <t xml:space="preserve">Inferred</t>
  </si>
  <si>
    <t xml:space="preserve">At Port</t>
  </si>
  <si>
    <t xml:space="preserve">Sea movement completed or port arrival started, or Actual Port Arrival typed</t>
  </si>
  <si>
    <t xml:space="preserve">Cleared</t>
  </si>
  <si>
    <t xml:space="preserve">Customs completed or delivery started, or Customs Release Date typed</t>
  </si>
  <si>
    <t xml:space="preserve">6</t>
  </si>
  <si>
    <t xml:space="preserve">Offloaded</t>
  </si>
  <si>
    <t xml:space="preserve">7</t>
  </si>
  <si>
    <t xml:space="preserve">Close after the offload</t>
  </si>
  <si>
    <t xml:space="preserve">8</t>
  </si>
  <si>
    <t xml:space="preserve">Cancel with a reason</t>
  </si>
  <si>
    <t xml:space="preserve">Planned</t>
  </si>
  <si>
    <t xml:space="preserve">In progress</t>
  </si>
  <si>
    <t xml:space="preserve">Start</t>
  </si>
  <si>
    <t xml:space="preserve">Completed</t>
  </si>
  <si>
    <t xml:space="preserve">Complete</t>
  </si>
  <si>
    <t xml:space="preserve">Container charges</t>
  </si>
  <si>
    <t xml:space="preserve">Can be changed or deleted</t>
  </si>
  <si>
    <t xml:space="preserve">Locked; enters the cost</t>
  </si>
  <si>
    <t xml:space="preserve">With a reason</t>
  </si>
  <si>
    <t xml:space="preserve">Emails (outbox)</t>
  </si>
  <si>
    <t xml:space="preserve">Pending</t>
  </si>
  <si>
    <t xml:space="preserve">Waiting to be sent (sending off keeps them Pending)</t>
  </si>
  <si>
    <t xml:space="preserve">Sent</t>
  </si>
  <si>
    <t xml:space="preserve">Failed</t>
  </si>
  <si>
    <t xml:space="preserve">After at most 5 attempts, with a readable error</t>
  </si>
  <si>
    <t xml:space="preserve">Approval history events</t>
  </si>
  <si>
    <t xml:space="preserve">Sent for approval · Sent again · Reminder sent · Approved (in the app / by email) · Approved directly · Rejected · Withdrawn · Posted without approval · Sent to the supplier · Not sent to the supplier</t>
  </si>
  <si>
    <t xml:space="preserve">Invoice line ↔ container</t>
  </si>
  <si>
    <t xml:space="preserve">Linked / Not linked</t>
  </si>
  <si>
    <t xml:space="preserve">"Not linked" is only a warning on shipped-in-containers invoices</t>
  </si>
  <si>
    <t xml:space="preserve">Effect on the containers</t>
  </si>
  <si>
    <t xml:space="preserve">LOAD</t>
  </si>
  <si>
    <t xml:space="preserve">Loading at supplier</t>
  </si>
  <si>
    <t xml:space="preserve">Origin</t>
  </si>
  <si>
    <t xml:space="preserve">No status change.</t>
  </si>
  <si>
    <t xml:space="preserve">SEA</t>
  </si>
  <si>
    <t xml:space="preserve">Sea freight</t>
  </si>
  <si>
    <t xml:space="preserve">Started: In Transit (dispatch date). Completed: At Port (actual port arrival).</t>
  </si>
  <si>
    <t xml:space="preserve">TRANSHIP</t>
  </si>
  <si>
    <t xml:space="preserve">Transit</t>
  </si>
  <si>
    <t xml:space="preserve">Started: In Transit.</t>
  </si>
  <si>
    <t xml:space="preserve">PORT</t>
  </si>
  <si>
    <t xml:space="preserve">Port arrival</t>
  </si>
  <si>
    <t xml:space="preserve">Port</t>
  </si>
  <si>
    <t xml:space="preserve">Started: At Port.</t>
  </si>
  <si>
    <t xml:space="preserve">INLAND</t>
  </si>
  <si>
    <t xml:space="preserve">Inland transport</t>
  </si>
  <si>
    <t xml:space="preserve">Started: In Transit (a container already At Port stays At Port).</t>
  </si>
  <si>
    <t xml:space="preserve">BORDER</t>
  </si>
  <si>
    <t xml:space="preserve">Border crossing</t>
  </si>
  <si>
    <t xml:space="preserve">Started: In Transit; sets the border crossing date.</t>
  </si>
  <si>
    <t xml:space="preserve">CUSTOMS</t>
  </si>
  <si>
    <t xml:space="preserve">Customs clearance</t>
  </si>
  <si>
    <t xml:space="preserve">Customs</t>
  </si>
  <si>
    <t xml:space="preserve">Completed: Cleared (customs release date).</t>
  </si>
  <si>
    <t xml:space="preserve">DELIVERY</t>
  </si>
  <si>
    <t xml:space="preserve">Delivery</t>
  </si>
  <si>
    <t xml:space="preserve">Started: Cleared.</t>
  </si>
  <si>
    <t xml:space="preserve">Rule</t>
  </si>
  <si>
    <t xml:space="preserve">Reference / note</t>
  </si>
  <si>
    <t xml:space="preserve">Numbering</t>
  </si>
  <si>
    <t xml:space="preserve">Numbers are defined per document type in Configuration › Document Types (NumberPrefix, NumberPerBranch, YearInNumber, NumberLength, NumberOnPost).</t>
  </si>
  <si>
    <t xml:space="preserve">Implemented</t>
  </si>
  <si>
    <t xml:space="preserve">Purchase documents: prefix + branch + sequence (PO-BR-002-000042, PINV-BR-003-000011); number assigned at posting (PO when approved / posted); drafts have no number.</t>
  </si>
  <si>
    <t xml:space="preserve">PRET pattern unsure</t>
  </si>
  <si>
    <t xml:space="preserve">Containers KTG-YYYY-NNNN (type CNT); container box number unique among open containers (69013); re-offload ledger number KTG-…/2.</t>
  </si>
  <si>
    <t xml:space="preserve">Movements MOV-YYYY-NNNNNN, assigned at the first save.</t>
  </si>
  <si>
    <t xml:space="preserve">Scripts Database/NN_Module_Description.sql and prompts docs/prompts/NN-title.md have separate numbers; pull before numbering (Ali writes scripts too).</t>
  </si>
  <si>
    <t xml:space="preserve">Convention</t>
  </si>
  <si>
    <t xml:space="preserve">A PO is a draft until posted; posting a PO = approving it; the PO auto-closes (4) when fully invoiced.</t>
  </si>
  <si>
    <t xml:space="preserve">An invoice made from a PO takes its supplier and branch; each line at most what remains on its source line.</t>
  </si>
  <si>
    <t xml:space="preserve">One item per supplier invoice: several lines of one item allowed, never two items; one draft per item from Create Invoice / from Containers / import; refusal 65029; Split by item; Post selected.</t>
  </si>
  <si>
    <t xml:space="preserve">Prompt 37, script 44</t>
  </si>
  <si>
    <t xml:space="preserve">Imported invoice: Exporter's Ref. required to post (65018); no own charges (65020); no LCA (67012).</t>
  </si>
  <si>
    <t xml:space="preserve">A PI can be created directly from an order that has containers (refusal 65021 removed).</t>
  </si>
  <si>
    <t xml:space="preserve">Prompt 41, script 43</t>
  </si>
  <si>
    <t xml:space="preserve">"Shipped in containers" (receipt mode 2): default on when the order has containers; no stock at posting; locked while linked (65026).</t>
  </si>
  <si>
    <t xml:space="preserve">Script 43</t>
  </si>
  <si>
    <t xml:space="preserve">Link / Unlink on a PI: draft or posted PI; containers Draft or Confirmed only (65027); linking splits the line; a PI not from a PO cannot have containers; a container line is never invoiced twice.</t>
  </si>
  <si>
    <t xml:space="preserve">Add container / Auto-plan from the PI: on the PI's order, linked at once, PI's item only.</t>
  </si>
  <si>
    <t xml:space="preserve">Containers card on every PI with reasons for disabled buttons; "Turn it on" for drafts; quantity ≤ min(not in a container, order lines allow); order approved or closed; no orange warning when not shipped in containers.</t>
  </si>
  <si>
    <t xml:space="preserve">Decided – prompt 44</t>
  </si>
  <si>
    <t xml:space="preserve">"+ Add charge" in every status: local draft = invoice charges; local posted = late charge → Post late charges (LCA); imported = container charge dialog.</t>
  </si>
  <si>
    <t xml:space="preserve">Decided – prompt 38</t>
  </si>
  <si>
    <t xml:space="preserve">One purchase-order page from everywhere; buttons visible but disabled with a tooltip (draft, waiting, closed, cancelled); hidden only without permission.</t>
  </si>
  <si>
    <t xml:space="preserve">Decided – prompt 39</t>
  </si>
  <si>
    <t xml:space="preserve">Purchase returns from a posted PINV.</t>
  </si>
  <si>
    <t xml:space="preserve">Detailed rules unsure</t>
  </si>
  <si>
    <t xml:space="preserve">Discount % per purchase line.</t>
  </si>
  <si>
    <t xml:space="preserve">Sales discounts: Ali</t>
  </si>
  <si>
    <t xml:space="preserve">Approvers chosen per user (In the app / By email); purchase.orders.approve has no effect.</t>
  </si>
  <si>
    <t xml:space="preserve">Script 42 + prompt 36</t>
  </si>
  <si>
    <t xml:space="preserve">Approval needed when the setting is on and the total in base currency is above the limit (0 = every order); otherwise Post ("Posted without approval").</t>
  </si>
  <si>
    <t xml:space="preserve">Rights checked in SQL at decision time, whatever the channel.</t>
  </si>
  <si>
    <t xml:space="preserve">"The person who sends an order may approve it" (default on); off → creator / requester can't approve (65023) nor receive the request.</t>
  </si>
  <si>
    <t xml:space="preserve">Approve &amp; post / Create &amp; approve for an in-app approver ("Approved directly").</t>
  </si>
  <si>
    <t xml:space="preserve">Links personal, single use, 72 h default (1–720); one decision closes all links; opening a link never decides (one click on /purchase-approval/:token).</t>
  </si>
  <si>
    <t xml:space="preserve">Reminders every N hours (default 24, 0 = never, max 168) with new links; Withdraw; Send again.</t>
  </si>
  <si>
    <t xml:space="preserve">After approval: supplier email with PO-{number}.xlsx (setting), copies to Owner role and typed addresses, requester told; no supplier address → warning + Send to supplier….</t>
  </si>
  <si>
    <t xml:space="preserve">After rejection: requester told; draft shows "Rejected by {name} on {date}: {reason}".</t>
  </si>
  <si>
    <t xml:space="preserve">65016 only while "Email the approved order to the supplier" is on; withdraw reason stored; create-and-approve warnings; Approve confirmation.</t>
  </si>
  <si>
    <t xml:space="preserve">Decided – prompt 42</t>
  </si>
  <si>
    <t xml:space="preserve">One sender mailbox (Settings › Email); password encrypted (Data Protection, App_Data/keys), never returned or logged; Gmail needs an app password; the system mailbox is inventory.shipment.2026@gmail.com.</t>
  </si>
  <si>
    <t xml:space="preserve">Prompt 36</t>
  </si>
  <si>
    <t xml:space="preserve">Every email is sent from that mailbox; suppliers and approvers only receive; replies and bounces come back to it.</t>
  </si>
  <si>
    <t xml:space="preserve">"Send emails" off = Pending in the Email log; on = worker every 30 s, 10 at a time, max 5 attempts; test email works while off.</t>
  </si>
  <si>
    <t xml:space="preserve">Links use "Address of the application" (else App:PublicBaseUrl); localhost links work only on the PC running the app.</t>
  </si>
  <si>
    <t xml:space="preserve">Production URL needed</t>
  </si>
  <si>
    <t xml:space="preserve">Created only from an approved and open PO (status 2); lines of other approved POs can be added.</t>
  </si>
  <si>
    <t xml:space="preserve">Quantities in pieces; loadable = ordered − invoiced without container − loaded elsewhere (69008).</t>
  </si>
  <si>
    <t xml:space="preserve">Status only moves forward (Cancel Offload and Reopen go back on purpose).</t>
  </si>
  <si>
    <t xml:space="preserve">Free days: last free day = actual port arrival + free days; red badge after.</t>
  </si>
  <si>
    <t xml:space="preserve">Offload needs: confirmed; every line invoiced by posted invoices (69016); no movement in progress; warehouse of the branch; received ≤ loaded; reason when different.</t>
  </si>
  <si>
    <t xml:space="preserve">Offload effects: landed cost = FOB + posted charges ÷ received; charges frozen; average / last / FOB costs updated.</t>
  </si>
  <si>
    <t xml:space="preserve">Cancel Offload refused after a cost adjustment (69018) or when the stock is gone.</t>
  </si>
  <si>
    <t xml:space="preserve">Close when every charge is posted; Reopen for late charges; delete drafts only.</t>
  </si>
  <si>
    <t xml:space="preserve">Auto-plan: whole containers per line first, rest packed (first fit, largest first, fill to the brim when fewer containers), Mix the rest, max 200, all or nothing.</t>
  </si>
  <si>
    <t xml:space="preserve">Script 28</t>
  </si>
  <si>
    <t xml:space="preserve">Capacity today: typed pieces → item Container unit → container type Max Units; over capacity warning 69007 (Load Above Capacity).</t>
  </si>
  <si>
    <t xml:space="preserve">To be replaced by prompt 46</t>
  </si>
  <si>
    <t xml:space="preserve">Capacity from one source: the item's Container unit; fill % = Σ qty ÷ pcs per container; no Container unit → "—", no warning, Auto-plan refuses; Max Units removed (columns kept); Max Weight / Volume stay.</t>
  </si>
  <si>
    <t xml:space="preserve">Decided – prompt 46</t>
  </si>
  <si>
    <t xml:space="preserve">Planned → In progress → Completed; Cancelled; one movement in progress per container (70012).</t>
  </si>
  <si>
    <t xml:space="preserve">Start shipment: default SEA between the containers' common ports; drafts confirmed; Plan only option; vessel / voyage / B/L / ETA copied.</t>
  </si>
  <si>
    <t xml:space="preserve">Place rule: only containers at the From (= To of their previous movement); Save refuses others (70015); Start refuses while the previous movement is not completed (70016); planning ahead allowed.</t>
  </si>
  <si>
    <t xml:space="preserve">Prompt 43; check the error numbers</t>
  </si>
  <si>
    <t xml:space="preserve">Never-moved containers are at their port of loading (or on an Origin movement ending there); no port of loading → any From with a note; Origin movements only take never-moved containers.</t>
  </si>
  <si>
    <t xml:space="preserve">Decided – prompt 45</t>
  </si>
  <si>
    <t xml:space="preserve">Not explicitly confirmed by Bilal</t>
  </si>
  <si>
    <t xml:space="preserve">The Containers card is the list with checkboxes; reloads on From change; no Add containers dialog; Save needs ≥ 1; Start / Complete disabled with unsaved changes; Start re-checks in SQL.</t>
  </si>
  <si>
    <t xml:space="preserve">Excel / paste import: number then ref, capitals / spaces / dashes ignored, never creates containers, max 500, results per number.</t>
  </si>
  <si>
    <t xml:space="preserve">Prompt 43 (basic)</t>
  </si>
  <si>
    <t xml:space="preserve">Import validation: only valid numbers can be ticked; Download the result (Result + Summary); template served from public/templates.</t>
  </si>
  <si>
    <t xml:space="preserve">Weighted average cost per item (plus last and FOB cost); sales at average cost (COGS).</t>
  </si>
  <si>
    <t xml:space="preserve">Import landed cost = FOB per piece + posted charges on the line ÷ pieces received; estimate before offload.</t>
  </si>
  <si>
    <t xml:space="preserve">Charges Draft → Posted → Cancelled; only posted charges that enter the cost count; rate of the charge date (editable).</t>
  </si>
  <si>
    <t xml:space="preserve">Split: Same / Equal / Pieces (default) / Value; allocation: Value / Quantity / Weight / Volume / Manual; cents to largest remainders.</t>
  </si>
  <si>
    <t xml:space="preserve">Copy a charge to other containers: drafts of the same group; refused if the container already has it.</t>
  </si>
  <si>
    <t xml:space="preserve">Late charge after offload → cost adjustment (in stock → average cost, sold → COGS); offload no longer reversible.</t>
  </si>
  <si>
    <t xml:space="preserve">Local purchases: invoice charges while draft; LCA after posting (67011 must be posted; 67012 not on imported).</t>
  </si>
  <si>
    <t xml:space="preserve">Attachments</t>
  </si>
  <si>
    <t xml:space="preserve">Containers: type, date, note; general or linked to a movement / charge; one upload → several containers.</t>
  </si>
  <si>
    <t xml:space="preserve">Every document: type required and filtered per document; never required to post; old files "Other"; one shared dialog; no direct upload; 20 MB everywhere.</t>
  </si>
  <si>
    <t xml:space="preserve">Decided – prompt 40</t>
  </si>
  <si>
    <t xml:space="preserve">Updated 4 Oct</t>
  </si>
  <si>
    <t xml:space="preserve">Inventory &amp; sales</t>
  </si>
  <si>
    <t xml:space="preserve">Allow selling out-of-stock items + Out-of-Stock Sales page.</t>
  </si>
  <si>
    <t xml:space="preserve">Ali – details unknown</t>
  </si>
  <si>
    <t xml:space="preserve">Sales invoice: own currency, client address, date tolerance, payment type.</t>
  </si>
  <si>
    <t xml:space="preserve">Customer receipts with payment methods and cash / bank accounts.</t>
  </si>
  <si>
    <t xml:space="preserve">Warehouse hierarchy; import of documents whatever the warehouse; no Expiry Date in the import template.</t>
  </si>
  <si>
    <t xml:space="preserve">Ali</t>
  </si>
  <si>
    <t xml:space="preserve">Price lists: per document type DefaultPricing / PriceEditable.</t>
  </si>
  <si>
    <t xml:space="preserve">Check the code</t>
  </si>
  <si>
    <t xml:space="preserve">Dates</t>
  </si>
  <si>
    <t xml:space="preserve">Timestamps in *Utc columns; dates without time have no time zone.</t>
  </si>
  <si>
    <t xml:space="preserve">API sends *Utc with "Z"; the web shows local time once.</t>
  </si>
  <si>
    <t xml:space="preserve">Security</t>
  </si>
  <si>
    <t xml:space="preserve">Permissions per role; administrator has all; Manager defaults; sensitive new permissions admin-only.</t>
  </si>
  <si>
    <t xml:space="preserve">Links never decide on GET; tokens never in logs or responses; SMTP password never returned.</t>
  </si>
  <si>
    <t xml:space="preserve">Concurrency with RowVersion: "This … was modified by another user. Reload the page and try again." (409).</t>
  </si>
  <si>
    <t xml:space="preserve">Prompt</t>
  </si>
  <si>
    <t xml:space="preserve">Title / what it does</t>
  </si>
  <si>
    <t xml:space="preserve">Notes</t>
  </si>
  <si>
    <t xml:space="preserve">1–29</t>
  </si>
  <si>
    <t xml:space="preserve">Earlier prompts (titles not known to this session)</t>
  </si>
  <si>
    <t xml:space="preserve">Unknown</t>
  </si>
  <si>
    <t xml:space="preserve">Files should be in docs/prompts of the API repository; scripts 23–26 came from that period</t>
  </si>
  <si>
    <t xml:space="preserve">30</t>
  </si>
  <si>
    <t xml:space="preserve">Approval UI / email outbox worker for script 26</t>
  </si>
  <si>
    <t xml:space="preserve">Replaced</t>
  </si>
  <si>
    <t xml:space="preserve">Replaced by prompt 36 ("Do not run prompt 30")</t>
  </si>
  <si>
    <t xml:space="preserve">31</t>
  </si>
  <si>
    <t xml:space="preserve">Not known</t>
  </si>
  <si>
    <t xml:space="preserve">32</t>
  </si>
  <si>
    <t xml:space="preserve">Batch 8 — Containers at the centre (script 27): containers from the PO, invoices from containers, movements, charges, documents, tracking</t>
  </si>
  <si>
    <t xml:space="preserve">Done</t>
  </si>
  <si>
    <t xml:space="preserve">A1–A4, B1–B5</t>
  </si>
  <si>
    <t xml:space="preserve">33</t>
  </si>
  <si>
    <t xml:space="preserve">Batch 9 — Many containers per order (script 28): Auto-plan, bulk actions, Start shipment for chosen containers, charge copy, Create &amp; send</t>
  </si>
  <si>
    <t xml:space="preserve">Except approval steps A4 / B3 (replaced by 36)</t>
  </si>
  <si>
    <t xml:space="preserve">34</t>
  </si>
  <si>
    <t xml:space="preserve">Batch 10 — Purchase approval: who approves, email settings, the cycle</t>
  </si>
  <si>
    <t xml:space="preserve">Partly done</t>
  </si>
  <si>
    <t xml:space="preserve">A1 became script 42 (not 29); A2–B3 replaced by 36</t>
  </si>
  <si>
    <t xml:space="preserve">35</t>
  </si>
  <si>
    <t xml:space="preserve">Fix "The request field is required." on PINV / PRET save and post</t>
  </si>
  <si>
    <t xml:space="preserve">Probably done or not needed; test by saving a draft PRET</t>
  </si>
  <si>
    <t xml:space="preserve">36</t>
  </si>
  <si>
    <t xml:space="preserve">Batch 10 final — Email and approval layer (A1–A3, B1–B4)</t>
  </si>
  <si>
    <t xml:space="preserve">Leftovers → prompt 42</t>
  </si>
  <si>
    <t xml:space="preserve">37</t>
  </si>
  <si>
    <t xml:space="preserve">Batch 11 — One item per supplier invoice (script 44, 65029)</t>
  </si>
  <si>
    <t xml:space="preserve">Verified 2 Oct; ran after 41</t>
  </si>
  <si>
    <t xml:space="preserve">38</t>
  </si>
  <si>
    <t xml:space="preserve">Charges on a purchase invoice, draft or posted ("+ Add charge")</t>
  </si>
  <si>
    <t xml:space="preserve">Not started</t>
  </si>
  <si>
    <t xml:space="preserve">39</t>
  </si>
  <si>
    <t xml:space="preserve">One purchase-order page from everywhere; disabled buttons with reasons</t>
  </si>
  <si>
    <t xml:space="preserve">40</t>
  </si>
  <si>
    <t xml:space="preserve">Attachment types on every document</t>
  </si>
  <si>
    <t xml:space="preserve">Updated 4 Oct: one dialog, no direct upload, 20 MB</t>
  </si>
  <si>
    <t xml:space="preserve">41</t>
  </si>
  <si>
    <t xml:space="preserve">Containers from the purchase invoice (script 43)</t>
  </si>
  <si>
    <t xml:space="preserve">Ran before 37</t>
  </si>
  <si>
    <t xml:space="preserve">42</t>
  </si>
  <si>
    <t xml:space="preserve">Approval follow-ups after 36</t>
  </si>
  <si>
    <t xml:space="preserve">"Prompt 42" ≠ "script 42"</t>
  </si>
  <si>
    <t xml:space="preserve">43</t>
  </si>
  <si>
    <t xml:space="preserve">Movement: containers with checkboxes, Excel list, place rule</t>
  </si>
  <si>
    <t xml:space="preserve">Partly superseded by 45</t>
  </si>
  <si>
    <t xml:space="preserve">44</t>
  </si>
  <si>
    <t xml:space="preserve">Create containers from a purchase invoice: check, then fix with every validation</t>
  </si>
  <si>
    <t xml:space="preserve">Status unknown; the reported problem was explained (invoices 1227, 1322)</t>
  </si>
  <si>
    <t xml:space="preserve">45</t>
  </si>
  <si>
    <t xml:space="preserve">Movement: one list with checkboxes following the From; Save / Start guards; never-moved rule; validated import; result download; template</t>
  </si>
  <si>
    <t xml:space="preserve">46</t>
  </si>
  <si>
    <t xml:space="preserve">Container capacity from the item's Container unit; Max Units removed</t>
  </si>
  <si>
    <t xml:space="preserve">Script</t>
  </si>
  <si>
    <t xml:space="preserve">Content</t>
  </si>
  <si>
    <t xml:space="preserve">Prompt / origin</t>
  </si>
  <si>
    <t xml:space="preserve">23</t>
  </si>
  <si>
    <t xml:space="preserve">Landed Cost Adjustment (LCA) of posted local invoices</t>
  </si>
  <si>
    <t xml:space="preserve">Before this session</t>
  </si>
  <si>
    <t xml:space="preserve">24</t>
  </si>
  <si>
    <t xml:space="preserve">First containers module ("batch 6")</t>
  </si>
  <si>
    <t xml:space="preserve">25</t>
  </si>
  <si>
    <t xml:space="preserve">Shortages + item Container unit</t>
  </si>
  <si>
    <t xml:space="preserve">26</t>
  </si>
  <si>
    <t xml:space="preserve">Purchase-order approval by email, email outbox</t>
  </si>
  <si>
    <t xml:space="preserve">Before this session (UI: prompt 30, replaced by 36)</t>
  </si>
  <si>
    <t xml:space="preserve">27</t>
  </si>
  <si>
    <t xml:space="preserve">Container-centric model</t>
  </si>
  <si>
    <t xml:space="preserve">Prompt 32</t>
  </si>
  <si>
    <t xml:space="preserve">28</t>
  </si>
  <si>
    <t xml:space="preserve">Bulk containers, Start shipment, charge copy, approvers</t>
  </si>
  <si>
    <t xml:space="preserve">Prompt 33</t>
  </si>
  <si>
    <t xml:space="preserve">29 (mine)</t>
  </si>
  <si>
    <t xml:space="preserve">Standalone approval / email script — NOT used</t>
  </si>
  <si>
    <t xml:space="preserve">Delivered, rejected in favour of 42</t>
  </si>
  <si>
    <t xml:space="preserve">29–41</t>
  </si>
  <si>
    <t xml:space="preserve">Ali's scripts (sales, receipts, settings, out-of-stock sales, warehouses, import…)</t>
  </si>
  <si>
    <t xml:space="preserve">Approval and email settings</t>
  </si>
  <si>
    <t xml:space="preserve">Prompt 34 A1</t>
  </si>
  <si>
    <t xml:space="preserve">Invoice containers</t>
  </si>
  <si>
    <t xml:space="preserve">Prompt 41</t>
  </si>
  <si>
    <t xml:space="preserve">One item per supplier invoice</t>
  </si>
  <si>
    <t xml:space="preserve">Prompt 37</t>
  </si>
  <si>
    <t xml:space="preserve">45 (probably)</t>
  </si>
  <si>
    <t xml:space="preserve">Movement container picker and place rule</t>
  </si>
  <si>
    <t xml:space="preserve">Prompt 43 — check</t>
  </si>
  <si>
    <t xml:space="preserve">next</t>
  </si>
  <si>
    <t xml:space="preserve">Free numbers for prompts 42, 44, 45, 46 (and 38 / 40 if they need SQL)</t>
  </si>
  <si>
    <t xml:space="preserve">Pull before numbering</t>
  </si>
  <si>
    <t xml:space="preserve">Priority</t>
  </si>
  <si>
    <t xml:space="preserve">What it does</t>
  </si>
  <si>
    <t xml:space="preserve">Before running</t>
  </si>
  <si>
    <t xml:space="preserve">Movement list with checkboxes, Save / Start guards, validated import</t>
  </si>
  <si>
    <t xml:space="preserve">Save Movement_Containers_Import_Template.xlsx in the Web's public/templates/ first</t>
  </si>
  <si>
    <t xml:space="preserve">Capacity from the item's Container unit only</t>
  </si>
  <si>
    <t xml:space="preserve">Fix TEST38-A Container unit (1 → 120) or let the Check list it</t>
  </si>
  <si>
    <t xml:space="preserve">PI Containers card with reasons and all validations</t>
  </si>
  <si>
    <t xml:space="preserve">Give VS Code invoices 1227 and 1322 when it asks</t>
  </si>
  <si>
    <t xml:space="preserve">Attachment types everywhere, one upload dialog</t>
  </si>
  <si>
    <t xml:space="preserve">Bilal asked again on 4 Oct</t>
  </si>
  <si>
    <t xml:space="preserve">Approval follow-ups (UTC Z, 65016, withdraw reason, Approve confirmation)</t>
  </si>
  <si>
    <t xml:space="preserve">Sending is already on; test-email cleaning may find nothing</t>
  </si>
  <si>
    <t xml:space="preserve">"+ Add charge" on posted invoices</t>
  </si>
  <si>
    <t xml:space="preserve">One purchase-order page</t>
  </si>
  <si>
    <t xml:space="preserve">Optionally add the Create Invoice preview count fix</t>
  </si>
  <si>
    <t xml:space="preserve">if needed</t>
  </si>
  <si>
    <t xml:space="preserve">Request-field fix</t>
  </si>
  <si>
    <t xml:space="preserve">Only if never run: save a draft PRET to test</t>
  </si>
  <si>
    <t xml:space="preserve">Problem</t>
  </si>
  <si>
    <t xml:space="preserve">What to do</t>
  </si>
  <si>
    <t xml:space="preserve">Stale API after new code (404 / 405, "Not found")</t>
  </si>
  <si>
    <t xml:space="preserve">fuser -k 7089/tcp 5174/tcp, then npm run dev in Inventory_Shipment.Web (dev.mjs reuses a running API).</t>
  </si>
  <si>
    <t xml:space="preserve">API start fails with SQL 18456 (login failed)</t>
  </si>
  <si>
    <t xml:space="preserve">The connection string lacks Bilal's sa password (appsettings.json may hold AJ's / a placeholder after merge ff3f905); fix: line 2 of ~/.bashrc export ConnectionStrings__&lt;Key&gt;=…Password=$SQLCMDPASSWORD…; key name to confirm; whether applied is unknown.</t>
  </si>
  <si>
    <t xml:space="preserve">Ali's PC: DLLs locked by IIS Express, port 5174 busy</t>
  </si>
  <si>
    <t xml:space="preserve">Stop IIS Express / the old Vite before npm run dev.</t>
  </si>
  <si>
    <t xml:space="preserve">GitHub copies may be behind GitLab</t>
  </si>
  <si>
    <t xml:space="preserve">GitLab origin is the team repo; GitHub (bfa-14/…) changes only with git push github main.</t>
  </si>
  <si>
    <t xml:space="preserve">Uncommitted work (prompts 36 rest, 41, 37, then 43…)</t>
  </si>
  <si>
    <t xml:space="preserve">Commit by feature; never commit appsettings.Development.json, App_Data/, screenshots; git pull --no-rebase; push.</t>
  </si>
  <si>
    <t xml:space="preserve">Test data in Bilal's database</t>
  </si>
  <si>
    <t xml:space="preserve">Orders 1136–1146, KTG-2026-0022, PO-BR-002-000048, PINV-BR-002-000033, KTG-2026-0031..0033, TEST41-A stock, MOV-2026-000046.</t>
  </si>
  <si>
    <t xml:space="preserve">Invoices 1076 and 1078 (posted, mode 2) have pieces outside containers</t>
  </si>
  <si>
    <t xml:space="preserve">Link them or cancel them.</t>
  </si>
  <si>
    <t xml:space="preserve">Item TEST38-A Container unit = 1</t>
  </si>
  <si>
    <t xml:space="preserve">Set it to 120 in Item Definition.</t>
  </si>
  <si>
    <t xml:space="preserve">Test users with @example.com emails bounce</t>
  </si>
  <si>
    <t xml:space="preserve">Use real addresses or Gmail + aliases.</t>
  </si>
  <si>
    <t xml:space="preserve">Email links point to localhost:5174</t>
  </si>
  <si>
    <t xml:space="preserve">Only work on Bilal's PC; set the real address in production.</t>
  </si>
  <si>
    <t xml:space="preserve">Owner role has no users</t>
  </si>
  <si>
    <t xml:space="preserve">No Owner copies are sent.</t>
  </si>
  <si>
    <t xml:space="preserve">Ali's database after pulling</t>
  </si>
  <si>
    <t xml:space="preserve">Gets scripts 42+ at API start; his POs then need approval (Settings › Purchase approval).</t>
  </si>
  <si>
    <t xml:space="preserve">tools/check-repo.sh missing</t>
  </si>
  <si>
    <t xml:space="preserve">tools/refresh-dbproject.sh stops at it; offered to write it.</t>
  </si>
  <si>
    <t xml:space="preserve">Containers User Guide outdated</t>
  </si>
  <si>
    <t xml:space="preserve">Chapters 5, 7, 8 after prompts 37, 41, 43–46.</t>
  </si>
  <si>
    <t xml:space="preserve">Decision</t>
  </si>
  <si>
    <t xml:space="preserve">Options considered</t>
  </si>
  <si>
    <t xml:space="preserve">Current default</t>
  </si>
  <si>
    <t xml:space="preserve">Never-moved containers on a movement</t>
  </si>
  <si>
    <t xml:space="preserve">(a) any From (prompt 43); (b) port of loading, or an Origin movement ending at it; (c) port of loading only</t>
  </si>
  <si>
    <t xml:space="preserve">(b) in prompt 45 — stated twice, not confirmed</t>
  </si>
  <si>
    <t xml:space="preserve">Container units per container type</t>
  </si>
  <si>
    <t xml:space="preserve">(a) one Container unit per item; (b) container unit types linked to container types</t>
  </si>
  <si>
    <t xml:space="preserve">(a) for now; (b) only if 20GP comes back</t>
  </si>
  <si>
    <t xml:space="preserve">Create Invoice preview count with existing drafts</t>
  </si>
  <si>
    <t xml:space="preserve">(a) leave it (result is right); (b) API preview excluding drafts (in prompt 39)</t>
  </si>
  <si>
    <t xml:space="preserve">Undecided</t>
  </si>
  <si>
    <t xml:space="preserve">Script numbering with Ali</t>
  </si>
  <si>
    <t xml:space="preserve">(a) pull before numbering and tell each other; (b) number ranges per person</t>
  </si>
  <si>
    <t xml:space="preserve">(a) advised</t>
  </si>
  <si>
    <t xml:space="preserve">Production email and links</t>
  </si>
  <si>
    <t xml:space="preserve">Keep the Gmail account (app password) or a company mailbox (Microsoft 365 / Workspace); real application URL</t>
  </si>
  <si>
    <t xml:space="preserve">Not discussed</t>
  </si>
  <si>
    <t xml:space="preserve">Number</t>
  </si>
  <si>
    <t xml:space="preserve">Module</t>
  </si>
  <si>
    <t xml:space="preserve">Meaning</t>
  </si>
  <si>
    <t xml:space="preserve">65000</t>
  </si>
  <si>
    <t xml:space="preserve">Validation</t>
  </si>
  <si>
    <t xml:space="preserve">65004</t>
  </si>
  <si>
    <t xml:space="preserve">Changed by another user (concurrency)</t>
  </si>
  <si>
    <t xml:space="preserve">65006</t>
  </si>
  <si>
    <t xml:space="preserve">Not found</t>
  </si>
  <si>
    <t xml:space="preserve">65008 / 65009</t>
  </si>
  <si>
    <t xml:space="preserve">Exist; meaning not known here</t>
  </si>
  <si>
    <t xml:space="preserve">65010</t>
  </si>
  <si>
    <t xml:space="preserve">Not a draft</t>
  </si>
  <si>
    <t xml:space="preserve">65013</t>
  </si>
  <si>
    <t xml:space="preserve">The order needs approval</t>
  </si>
  <si>
    <t xml:space="preserve">65014</t>
  </si>
  <si>
    <t xml:space="preserve">Approval link not usable (says why)</t>
  </si>
  <si>
    <t xml:space="preserve">65015</t>
  </si>
  <si>
    <t xml:space="preserve">Nobody can approve</t>
  </si>
  <si>
    <t xml:space="preserve">65016</t>
  </si>
  <si>
    <t xml:space="preserve">Supplier has no email (to change with prompt 42)</t>
  </si>
  <si>
    <t xml:space="preserve">65017</t>
  </si>
  <si>
    <t xml:space="preserve">Not allowed to approve</t>
  </si>
  <si>
    <t xml:space="preserve">65018</t>
  </si>
  <si>
    <t xml:space="preserve">Exporter's reference required</t>
  </si>
  <si>
    <t xml:space="preserve">65019</t>
  </si>
  <si>
    <t xml:space="preserve">Container line mismatch / exceeded</t>
  </si>
  <si>
    <t xml:space="preserve">65020</t>
  </si>
  <si>
    <t xml:space="preserve">Charges belong to the containers</t>
  </si>
  <si>
    <t xml:space="preserve">65021</t>
  </si>
  <si>
    <t xml:space="preserve">Order shipped in containers (refusal removed by prompt 41)</t>
  </si>
  <si>
    <t xml:space="preserve">65022</t>
  </si>
  <si>
    <t xml:space="preserve">Approval not needed</t>
  </si>
  <si>
    <t xml:space="preserve">65023</t>
  </si>
  <si>
    <t xml:space="preserve">Self-approval refused</t>
  </si>
  <si>
    <t xml:space="preserve">65024</t>
  </si>
  <si>
    <t xml:space="preserve">Approval settings</t>
  </si>
  <si>
    <t xml:space="preserve">65025</t>
  </si>
  <si>
    <t xml:space="preserve">Email settings</t>
  </si>
  <si>
    <t xml:space="preserve">65026</t>
  </si>
  <si>
    <t xml:space="preserve">"Shipped in containers" locked while linked</t>
  </si>
  <si>
    <t xml:space="preserve">65027</t>
  </si>
  <si>
    <t xml:space="preserve">Container already moving</t>
  </si>
  <si>
    <t xml:space="preserve">65028</t>
  </si>
  <si>
    <t xml:space="preserve">Invoice can't be linked</t>
  </si>
  <si>
    <t xml:space="preserve">65029</t>
  </si>
  <si>
    <t xml:space="preserve">65030+</t>
  </si>
  <si>
    <t xml:space="preserve">Expected next free (prompt 44)</t>
  </si>
  <si>
    <t xml:space="preserve">67011</t>
  </si>
  <si>
    <t xml:space="preserve">Landed cost adjustment</t>
  </si>
  <si>
    <t xml:space="preserve">The invoice must be posted</t>
  </si>
  <si>
    <t xml:space="preserve">67012</t>
  </si>
  <si>
    <t xml:space="preserve">Refused on an imported invoice</t>
  </si>
  <si>
    <t xml:space="preserve">69000</t>
  </si>
  <si>
    <t xml:space="preserve">69005</t>
  </si>
  <si>
    <t xml:space="preserve">Not editable</t>
  </si>
  <si>
    <t xml:space="preserve">69006</t>
  </si>
  <si>
    <t xml:space="preserve">69007</t>
  </si>
  <si>
    <t xml:space="preserve">Over capacity (warning, confirmable)</t>
  </si>
  <si>
    <t xml:space="preserve">69008</t>
  </si>
  <si>
    <t xml:space="preserve">More than the order line still allows</t>
  </si>
  <si>
    <t xml:space="preserve">69009</t>
  </si>
  <si>
    <t xml:space="preserve">Nothing to create</t>
  </si>
  <si>
    <t xml:space="preserve">69013</t>
  </si>
  <si>
    <t xml:space="preserve">Container number already used</t>
  </si>
  <si>
    <t xml:space="preserve">69016</t>
  </si>
  <si>
    <t xml:space="preserve">Not fully invoiced (offload)</t>
  </si>
  <si>
    <t xml:space="preserve">69017</t>
  </si>
  <si>
    <t xml:space="preserve">Container line already invoiced</t>
  </si>
  <si>
    <t xml:space="preserve">69018</t>
  </si>
  <si>
    <t xml:space="preserve">Cost adjustments exist (offload not reversible)</t>
  </si>
  <si>
    <t xml:space="preserve">70000</t>
  </si>
  <si>
    <t xml:space="preserve">70001</t>
  </si>
  <si>
    <t xml:space="preserve">Duplicate (container already has this charge)</t>
  </si>
  <si>
    <t xml:space="preserve">70004</t>
  </si>
  <si>
    <t xml:space="preserve">Concurrency</t>
  </si>
  <si>
    <t xml:space="preserve">70005</t>
  </si>
  <si>
    <t xml:space="preserve">70006</t>
  </si>
  <si>
    <t xml:space="preserve">70010</t>
  </si>
  <si>
    <t xml:space="preserve">Invalid status</t>
  </si>
  <si>
    <t xml:space="preserve">70012</t>
  </si>
  <si>
    <t xml:space="preserve">Container travelling with another movement</t>
  </si>
  <si>
    <t xml:space="preserve">70013</t>
  </si>
  <si>
    <t xml:space="preserve">Allocation data missing</t>
  </si>
  <si>
    <t xml:space="preserve">70014</t>
  </si>
  <si>
    <t xml:space="preserve">In use</t>
  </si>
  <si>
    <t xml:space="preserve">70015</t>
  </si>
  <si>
    <t xml:space="preserve">Container not at the movement's From (prompt 43)</t>
  </si>
  <si>
    <t xml:space="preserve">70016</t>
  </si>
  <si>
    <t xml:space="preserve">Previous movement not completed (prompt 43)</t>
  </si>
  <si>
    <t xml:space="preserve">HTTP</t>
  </si>
  <si>
    <t xml:space="preserve">All</t>
  </si>
  <si>
    <t xml:space="preserve">Validation → 400, not found → 404, the rest → 409, with the SQL message</t>
  </si>
  <si>
    <t xml:space="preserve">Sort order</t>
  </si>
  <si>
    <t xml:space="preserve">What it allows</t>
  </si>
  <si>
    <t xml:space="preserve">containers.movements.manage</t>
  </si>
  <si>
    <t xml:space="preserve">1410</t>
  </si>
  <si>
    <t xml:space="preserve">Manage Shipment Movements: plan, start, complete, cancel movements; Start shipment</t>
  </si>
  <si>
    <t xml:space="preserve">containers.charges.view</t>
  </si>
  <si>
    <t xml:space="preserve">1420</t>
  </si>
  <si>
    <t xml:space="preserve">View Container Charges</t>
  </si>
  <si>
    <t xml:space="preserve">containers.charges.create</t>
  </si>
  <si>
    <t xml:space="preserve">1430</t>
  </si>
  <si>
    <t xml:space="preserve">Create Container Charges (enter, edit, delete, copy drafts)</t>
  </si>
  <si>
    <t xml:space="preserve">containers.charges.post</t>
  </si>
  <si>
    <t xml:space="preserve">1440</t>
  </si>
  <si>
    <t xml:space="preserve">Post Container Charges</t>
  </si>
  <si>
    <t xml:space="preserve">containers.charges.cancel</t>
  </si>
  <si>
    <t xml:space="preserve">1450</t>
  </si>
  <si>
    <t xml:space="preserve">Cancel Container Charges</t>
  </si>
  <si>
    <t xml:space="preserve">containers.attachments.manage</t>
  </si>
  <si>
    <t xml:space="preserve">1460</t>
  </si>
  <si>
    <t xml:space="preserve">Manage Container Documents</t>
  </si>
  <si>
    <t xml:space="preserve">masterdata.movementtypes.manage</t>
  </si>
  <si>
    <t xml:space="preserve">1470</t>
  </si>
  <si>
    <t xml:space="preserve">Manage movement types</t>
  </si>
  <si>
    <t xml:space="preserve">containers.overcapacity</t>
  </si>
  <si>
    <t xml:space="preserve">Load Above Capacity</t>
  </si>
  <si>
    <t xml:space="preserve">(container permissions, codes not listed here)</t>
  </si>
  <si>
    <t xml:space="preserve">View / Create / Confirm / Offload / Cancel / Close / Delete Containers</t>
  </si>
  <si>
    <t xml:space="preserve">purchase.orders.approve</t>
  </si>
  <si>
    <t xml:space="preserve">Now "(not used)": approvers are chosen in Settings › Purchase approval</t>
  </si>
  <si>
    <t xml:space="preserve">purchase.orders.post</t>
  </si>
  <si>
    <t xml:space="preserve">Post purchase orders; Send again, Withdraw, Send to supplier</t>
  </si>
  <si>
    <t xml:space="preserve">purchase.approval.manage</t>
  </si>
  <si>
    <t xml:space="preserve">Manage Purchase Approval Settings (administrators by default)</t>
  </si>
  <si>
    <t xml:space="preserve">settings.email.manage</t>
  </si>
  <si>
    <t xml:space="preserve">Manage Email Settings (administrators by default)</t>
  </si>
  <si>
    <t xml:space="preserve">messaging.emails.view</t>
  </si>
  <si>
    <t xml:space="preserve">920</t>
  </si>
  <si>
    <t xml:space="preserve">View the Email log</t>
  </si>
  <si>
    <t xml:space="preserve">What is unsure</t>
  </si>
  <si>
    <t xml:space="preserve">Where to check</t>
  </si>
  <si>
    <t xml:space="preserve">Who they are (dealers, retail)</t>
  </si>
  <si>
    <t xml:space="preserve">Ask Bilal</t>
  </si>
  <si>
    <t xml:space="preserve">Spare parts and oil besides motorcycles</t>
  </si>
  <si>
    <t xml:space="preserve">Item Definition data</t>
  </si>
  <si>
    <t xml:space="preserve">How expiry dates on invoice lines are used</t>
  </si>
  <si>
    <t xml:space="preserve">Purchase lines code, Ali's import</t>
  </si>
  <si>
    <t xml:space="preserve">Branches</t>
  </si>
  <si>
    <t xml:space="preserve">Name of BR-002; existence of BR-001 / head office</t>
  </si>
  <si>
    <t xml:space="preserve">Master Data › Branches</t>
  </si>
  <si>
    <t xml:space="preserve">Which currencies besides USD (CDF?)</t>
  </si>
  <si>
    <t xml:space="preserve">Master Data › Currencies</t>
  </si>
  <si>
    <t xml:space="preserve">Real role names (buyer etc.)</t>
  </si>
  <si>
    <t xml:space="preserve">security.Roles</t>
  </si>
  <si>
    <t xml:space="preserve">Sales documents</t>
  </si>
  <si>
    <t xml:space="preserve">SINV / SRET codes; whether sales returns exist</t>
  </si>
  <si>
    <t xml:space="preserve">inventory.DocumentTypes</t>
  </si>
  <si>
    <t xml:space="preserve">The exact formula</t>
  </si>
  <si>
    <t xml:space="preserve">fn_Shortage_Live (script 25)</t>
  </si>
  <si>
    <t xml:space="preserve">The exact rule</t>
  </si>
  <si>
    <t xml:space="preserve">Ali's sales-invoice scripts / commits</t>
  </si>
  <si>
    <t xml:space="preserve">The values (cash / credit?)</t>
  </si>
  <si>
    <t xml:space="preserve">Ali's commits</t>
  </si>
  <si>
    <t xml:space="preserve">Price lists</t>
  </si>
  <si>
    <t xml:space="preserve">How DefaultPricing / PriceEditable choose prices</t>
  </si>
  <si>
    <t xml:space="preserve">Document types + Price Lists code</t>
  </si>
  <si>
    <t xml:space="preserve">How it is computed</t>
  </si>
  <si>
    <t xml:space="preserve">Ali's code</t>
  </si>
  <si>
    <t xml:space="preserve">LCA and sales number formats; PRET pattern</t>
  </si>
  <si>
    <t xml:space="preserve">Status codes</t>
  </si>
  <si>
    <t xml:space="preserve">Container status 3 and movement status 4 (inferred)</t>
  </si>
  <si>
    <t xml:space="preserve">logistics procedures</t>
  </si>
  <si>
    <t xml:space="preserve">Codes of the basic container permissions</t>
  </si>
  <si>
    <t xml:space="preserve">security.Permissions</t>
  </si>
  <si>
    <t xml:space="preserve">Prompts 1–31</t>
  </si>
  <si>
    <t xml:space="preserve">Titles and contents</t>
  </si>
  <si>
    <t xml:space="preserve">docs/prompts in the API repository</t>
  </si>
  <si>
    <t xml:space="preserve">Prompt 35 / 44</t>
  </si>
  <si>
    <t xml:space="preserve">Whether they were run</t>
  </si>
  <si>
    <t xml:space="preserve">Ask Bilal / git log</t>
  </si>
  <si>
    <t xml:space="preserve">Connection string fix</t>
  </si>
  <si>
    <t xml:space="preserve">Whether the env-var fix for 18456 was applied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</si>
</sst>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nventory_Shipment_Handoff.xlsx" TargetMode="External"/><Relationship Id="rId2" Type="http://schemas.openxmlformats.org/officeDocument/2006/relationships/hyperlink" Target="Inventory_Shipment_Handoff.xlsx" TargetMode="External"/><Relationship Id="rId3" Type="http://schemas.openxmlformats.org/officeDocument/2006/relationships/hyperlink" Target="Inventory_Shipment_Handoff.xlsx" TargetMode="External"/><Relationship Id="rId4" Type="http://schemas.openxmlformats.org/officeDocument/2006/relationships/hyperlink" Target="Inventory_Shipment_Handoff.xlsx" TargetMode="External"/><Relationship Id="rId5" Type="http://schemas.openxmlformats.org/officeDocument/2006/relationships/hyperlink" Target="Inventory_Shipment_Handoff.xlsx" TargetMode="External"/><Relationship Id="rId6" Type="http://schemas.openxmlformats.org/officeDocument/2006/relationships/hyperlink" Target="Inventory_Shipment_Handoff.xlsx" TargetMode="External"/><Relationship Id="rId7" Type="http://schemas.openxmlformats.org/officeDocument/2006/relationships/hyperlink" Target="Inventory_Shipment_Handoff.xlsx" TargetMode="External"/><Relationship Id="rId8" Type="http://schemas.openxmlformats.org/officeDocument/2006/relationships/hyperlink" Target="Inventory_Shipment_Handoff.xlsx" TargetMode="External"/><Relationship Id="rId9" Type="http://schemas.openxmlformats.org/officeDocument/2006/relationships/hyperlink" Target="Inventory_Shipment_Handoff.xlsx" TargetMode="External"/><Relationship Id="rId10" Type="http://schemas.openxmlformats.org/officeDocument/2006/relationships/hyperlink" Target="Inventory_Shipment_Handoff.xlsx" TargetMode="External"/><Relationship Id="rId11" Type="http://schemas.openxmlformats.org/officeDocument/2006/relationships/hyperlink" Target="Inventory_Shipment_Handoff.xlsx" TargetMode="External"/><Relationship Id="rId12" Type="http://schemas.openxmlformats.org/officeDocument/2006/relationships/hyperlink" Target="Inventory_Shipment_Handoff.xlsx" TargetMode="External"/><Relationship Id="rId13" Type="http://schemas.openxmlformats.org/officeDocument/2006/relationships/hyperlink" Target="Inventory_Shipment_Handoff.xlsx" TargetMode="External"/><Relationship Id="rId14" Type="http://schemas.openxmlformats.org/officeDocument/2006/relationships/hyperlink" Target="Inventory_Shipment_Handoff.xlsx" TargetMode="External"/><Relationship Id="rId15" Type="http://schemas.openxmlformats.org/officeDocument/2006/relationships/hyperlink" Target="Inventory_Shipment_Handoff.xlsx" TargetMode="External"/><Relationship Id="rId16" Type="http://schemas.openxmlformats.org/officeDocument/2006/relationships/hyperlink" Target="Inventory_Shipment_Handoff.xlsx" TargetMode="External"/><Relationship Id="rId17" Type="http://schemas.openxmlformats.org/officeDocument/2006/relationships/hyperlink" Target="Inventory_Shipment_Handoff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10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2" t="s">
        <v>2</v>
      </c>
      <c r="B3" s="2"/>
      <c r="C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6" t="n">
        <f aca="false">COUNTA(Business!A:A)-1</f>
        <v>28</v>
      </c>
    </row>
    <row r="7" customFormat="false" ht="15" hidden="false" customHeight="false" outlineLevel="0" collapsed="false">
      <c r="A7" s="4" t="s">
        <v>8</v>
      </c>
      <c r="B7" s="5" t="s">
        <v>9</v>
      </c>
      <c r="C7" s="6" t="n">
        <f aca="false">COUNTA(Ports!A:A)-1</f>
        <v>9</v>
      </c>
    </row>
    <row r="8" customFormat="false" ht="15" hidden="false" customHeight="false" outlineLevel="0" collapsed="false">
      <c r="A8" s="4" t="s">
        <v>10</v>
      </c>
      <c r="B8" s="5" t="s">
        <v>11</v>
      </c>
      <c r="C8" s="6" t="n">
        <f aca="false">COUNTA(Roles!A:A)-1</f>
        <v>9</v>
      </c>
    </row>
    <row r="9" customFormat="false" ht="15" hidden="false" customHeight="false" outlineLevel="0" collapsed="false">
      <c r="A9" s="4" t="s">
        <v>12</v>
      </c>
      <c r="B9" s="5" t="s">
        <v>13</v>
      </c>
      <c r="C9" s="6" t="n">
        <f aca="false">COUNTA(Glossary!A:A)-1</f>
        <v>61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n">
        <f aca="false">COUNTA(Menu!A:A)-1</f>
        <v>47</v>
      </c>
    </row>
    <row r="11" customFormat="false" ht="15" hidden="false" customHeight="false" outlineLevel="0" collapsed="false">
      <c r="A11" s="4" t="s">
        <v>16</v>
      </c>
      <c r="B11" s="5" t="s">
        <v>17</v>
      </c>
      <c r="C11" s="6" t="n">
        <f aca="false">COUNTA(Flows!A:A)-1</f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  <c r="C12" s="6" t="n">
        <f aca="false">COUNTA(Statuses!A:A)-1</f>
        <v>25</v>
      </c>
    </row>
    <row r="13" customFormat="false" ht="15" hidden="false" customHeight="false" outlineLevel="0" collapsed="false">
      <c r="A13" s="4" t="s">
        <v>20</v>
      </c>
      <c r="B13" s="5" t="s">
        <v>21</v>
      </c>
      <c r="C13" s="6" t="n">
        <f aca="false">COUNTA('Movement types'!A:A)-1</f>
        <v>8</v>
      </c>
    </row>
    <row r="14" customFormat="false" ht="15" hidden="false" customHeight="false" outlineLevel="0" collapsed="false">
      <c r="A14" s="4" t="s">
        <v>22</v>
      </c>
      <c r="B14" s="5" t="s">
        <v>23</v>
      </c>
      <c r="C14" s="6" t="n">
        <f aca="false">COUNTA(Rules!A:A)-1</f>
        <v>69</v>
      </c>
    </row>
    <row r="15" customFormat="false" ht="15" hidden="false" customHeight="false" outlineLevel="0" collapsed="false">
      <c r="A15" s="4" t="s">
        <v>24</v>
      </c>
      <c r="B15" s="5" t="s">
        <v>25</v>
      </c>
      <c r="C15" s="6" t="n">
        <f aca="false">COUNTA(Prompts!A:A)-1</f>
        <v>18</v>
      </c>
    </row>
    <row r="16" customFormat="false" ht="15" hidden="false" customHeight="false" outlineLevel="0" collapsed="false">
      <c r="A16" s="4" t="s">
        <v>26</v>
      </c>
      <c r="B16" s="5" t="s">
        <v>27</v>
      </c>
      <c r="C16" s="6" t="n">
        <f aca="false">COUNTA(Scripts!A:A)-1</f>
        <v>13</v>
      </c>
    </row>
    <row r="17" customFormat="false" ht="15" hidden="false" customHeight="false" outlineLevel="0" collapsed="false">
      <c r="A17" s="4" t="s">
        <v>28</v>
      </c>
      <c r="B17" s="5" t="s">
        <v>29</v>
      </c>
      <c r="C17" s="6" t="n">
        <f aca="false">COUNTA(Next!A:A)-1</f>
        <v>8</v>
      </c>
    </row>
    <row r="18" customFormat="false" ht="15" hidden="false" customHeight="false" outlineLevel="0" collapsed="false">
      <c r="A18" s="4" t="s">
        <v>30</v>
      </c>
      <c r="B18" s="5" t="s">
        <v>31</v>
      </c>
      <c r="C18" s="6" t="n">
        <f aca="false">COUNTA('Known problems'!A:A)-1</f>
        <v>14</v>
      </c>
    </row>
    <row r="19" customFormat="false" ht="15" hidden="false" customHeight="false" outlineLevel="0" collapsed="false">
      <c r="A19" s="4" t="s">
        <v>32</v>
      </c>
      <c r="B19" s="5" t="s">
        <v>33</v>
      </c>
      <c r="C19" s="6" t="n">
        <f aca="false">COUNTA(Decisions!A:A)-1</f>
        <v>5</v>
      </c>
    </row>
    <row r="20" customFormat="false" ht="15" hidden="false" customHeight="false" outlineLevel="0" collapsed="false">
      <c r="A20" s="4" t="s">
        <v>34</v>
      </c>
      <c r="B20" s="5" t="s">
        <v>35</v>
      </c>
      <c r="C20" s="6" t="n">
        <f aca="false">COUNTA('Error codes'!A:A)-1</f>
        <v>47</v>
      </c>
    </row>
    <row r="21" customFormat="false" ht="15" hidden="false" customHeight="false" outlineLevel="0" collapsed="false">
      <c r="A21" s="4" t="s">
        <v>36</v>
      </c>
      <c r="B21" s="5" t="s">
        <v>37</v>
      </c>
      <c r="C21" s="6" t="n">
        <f aca="false">COUNTA(Permissions!A:A)-1</f>
        <v>14</v>
      </c>
    </row>
    <row r="22" customFormat="false" ht="15" hidden="false" customHeight="false" outlineLevel="0" collapsed="false">
      <c r="A22" s="4" t="s">
        <v>38</v>
      </c>
      <c r="B22" s="5" t="s">
        <v>39</v>
      </c>
      <c r="C22" s="6" t="n">
        <f aca="false">COUNTA('Open questions'!A:A)-1</f>
        <v>18</v>
      </c>
    </row>
    <row r="23" customFormat="false" ht="15" hidden="false" customHeight="false" outlineLevel="0" collapsed="false">
      <c r="B23" s="7" t="s">
        <v>40</v>
      </c>
      <c r="C23" s="8" t="n">
        <f aca="false">SUM(C6:C22)</f>
        <v>410</v>
      </c>
    </row>
  </sheetData>
  <mergeCells count="3">
    <mergeCell ref="A1:C1"/>
    <mergeCell ref="A2:C2"/>
    <mergeCell ref="A3:C3"/>
  </mergeCells>
  <hyperlinks>
    <hyperlink ref="A6" r:id="rId1" location="'Business'!A1" display="Business"/>
    <hyperlink ref="A7" r:id="rId2" location="'Ports'!A1" display="Ports"/>
    <hyperlink ref="A8" r:id="rId3" location="'Roles'!A1" display="Roles"/>
    <hyperlink ref="A9" r:id="rId4" location="'Glossary'!A1" display="Glossary"/>
    <hyperlink ref="A10" r:id="rId5" location="'Menu'!A1" display="Menu"/>
    <hyperlink ref="A11" r:id="rId6" location="'Flows'!A1" display="Flows"/>
    <hyperlink ref="A12" r:id="rId7" location="'Statuses'!A1" display="Statuses"/>
    <hyperlink ref="A13" r:id="rId8" location="'Movement%20types'!A1" display="Movement types"/>
    <hyperlink ref="A14" r:id="rId9" location="'Rules'!A1" display="Rules"/>
    <hyperlink ref="A15" r:id="rId10" location="'Prompts'!A1" display="Prompts"/>
    <hyperlink ref="A16" r:id="rId11" location="'Scripts'!A1" display="Scripts"/>
    <hyperlink ref="A17" r:id="rId12" location="'Next'!A1" display="Next"/>
    <hyperlink ref="A18" r:id="rId13" location="'Known%20problems'!A1" display="Known problems"/>
    <hyperlink ref="A19" r:id="rId14" location="'Decisions'!A1" display="Decisions"/>
    <hyperlink ref="A20" r:id="rId15" location="'Error%20codes'!A1" display="Error codes"/>
    <hyperlink ref="A21" r:id="rId16" location="'Permissions'!A1" display="Permissions"/>
    <hyperlink ref="A22" r:id="rId17" location="'Open%20questions'!A1" display="Open ques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9" t="s">
        <v>41</v>
      </c>
      <c r="B1" s="9" t="s">
        <v>42</v>
      </c>
      <c r="C1" s="9" t="s">
        <v>43</v>
      </c>
      <c r="D1" s="9" t="s">
        <v>44</v>
      </c>
    </row>
    <row r="2" customFormat="false" ht="15" hidden="false" customHeight="false" outlineLevel="0" collapsed="false">
      <c r="A2" s="10" t="s">
        <v>45</v>
      </c>
      <c r="B2" s="5" t="s">
        <v>46</v>
      </c>
      <c r="C2" s="5" t="s">
        <v>47</v>
      </c>
      <c r="D2" s="5" t="s">
        <v>48</v>
      </c>
    </row>
    <row r="3" customFormat="false" ht="23.85" hidden="false" customHeight="false" outlineLevel="0" collapsed="false">
      <c r="A3" s="10" t="s">
        <v>45</v>
      </c>
      <c r="B3" s="5" t="s">
        <v>49</v>
      </c>
      <c r="C3" s="5" t="s">
        <v>50</v>
      </c>
      <c r="D3" s="5" t="s">
        <v>48</v>
      </c>
    </row>
    <row r="4" customFormat="false" ht="23.85" hidden="false" customHeight="false" outlineLevel="0" collapsed="false">
      <c r="A4" s="10" t="s">
        <v>45</v>
      </c>
      <c r="B4" s="5" t="s">
        <v>51</v>
      </c>
      <c r="C4" s="5" t="s">
        <v>52</v>
      </c>
      <c r="D4" s="5" t="s">
        <v>48</v>
      </c>
    </row>
    <row r="5" customFormat="false" ht="15" hidden="false" customHeight="false" outlineLevel="0" collapsed="false">
      <c r="A5" s="10" t="s">
        <v>45</v>
      </c>
      <c r="B5" s="5" t="s">
        <v>53</v>
      </c>
      <c r="C5" s="5" t="s">
        <v>54</v>
      </c>
      <c r="D5" s="5" t="s">
        <v>48</v>
      </c>
    </row>
    <row r="6" customFormat="false" ht="23.85" hidden="false" customHeight="false" outlineLevel="0" collapsed="false">
      <c r="A6" s="10" t="s">
        <v>45</v>
      </c>
      <c r="B6" s="5" t="s">
        <v>55</v>
      </c>
      <c r="C6" s="5" t="s">
        <v>56</v>
      </c>
      <c r="D6" s="5" t="s">
        <v>48</v>
      </c>
    </row>
    <row r="7" customFormat="false" ht="15" hidden="false" customHeight="false" outlineLevel="0" collapsed="false">
      <c r="A7" s="10" t="s">
        <v>57</v>
      </c>
      <c r="B7" s="5" t="s">
        <v>58</v>
      </c>
      <c r="C7" s="5" t="s">
        <v>59</v>
      </c>
      <c r="D7" s="5" t="s">
        <v>48</v>
      </c>
    </row>
    <row r="8" customFormat="false" ht="23.85" hidden="false" customHeight="false" outlineLevel="0" collapsed="false">
      <c r="A8" s="10" t="s">
        <v>57</v>
      </c>
      <c r="B8" s="5" t="s">
        <v>60</v>
      </c>
      <c r="C8" s="5" t="s">
        <v>61</v>
      </c>
      <c r="D8" s="5" t="s">
        <v>48</v>
      </c>
    </row>
    <row r="9" customFormat="false" ht="15" hidden="false" customHeight="false" outlineLevel="0" collapsed="false">
      <c r="A9" s="10" t="s">
        <v>57</v>
      </c>
      <c r="B9" s="5" t="s">
        <v>62</v>
      </c>
      <c r="C9" s="5" t="s">
        <v>63</v>
      </c>
      <c r="D9" s="5" t="s">
        <v>48</v>
      </c>
    </row>
    <row r="10" customFormat="false" ht="15" hidden="false" customHeight="false" outlineLevel="0" collapsed="false">
      <c r="A10" s="10" t="s">
        <v>57</v>
      </c>
      <c r="B10" s="5" t="s">
        <v>64</v>
      </c>
      <c r="C10" s="5" t="s">
        <v>65</v>
      </c>
      <c r="D10" s="5" t="s">
        <v>48</v>
      </c>
    </row>
    <row r="11" customFormat="false" ht="23.85" hidden="false" customHeight="false" outlineLevel="0" collapsed="false">
      <c r="A11" s="10" t="s">
        <v>66</v>
      </c>
      <c r="B11" s="5" t="s">
        <v>67</v>
      </c>
      <c r="C11" s="5" t="s">
        <v>68</v>
      </c>
      <c r="D11" s="5" t="s">
        <v>69</v>
      </c>
    </row>
    <row r="12" customFormat="false" ht="15" hidden="false" customHeight="false" outlineLevel="0" collapsed="false">
      <c r="A12" s="10" t="s">
        <v>66</v>
      </c>
      <c r="B12" s="5" t="s">
        <v>70</v>
      </c>
      <c r="C12" s="5" t="s">
        <v>71</v>
      </c>
      <c r="D12" s="5" t="s">
        <v>69</v>
      </c>
    </row>
    <row r="13" customFormat="false" ht="23.85" hidden="false" customHeight="false" outlineLevel="0" collapsed="false">
      <c r="A13" s="10" t="s">
        <v>66</v>
      </c>
      <c r="B13" s="5" t="s">
        <v>72</v>
      </c>
      <c r="C13" s="5" t="s">
        <v>73</v>
      </c>
      <c r="D13" s="5" t="s">
        <v>69</v>
      </c>
    </row>
    <row r="14" customFormat="false" ht="23.85" hidden="false" customHeight="false" outlineLevel="0" collapsed="false">
      <c r="A14" s="10" t="s">
        <v>74</v>
      </c>
      <c r="B14" s="5" t="s">
        <v>75</v>
      </c>
      <c r="C14" s="5" t="s">
        <v>76</v>
      </c>
      <c r="D14" s="5" t="s">
        <v>48</v>
      </c>
    </row>
    <row r="15" customFormat="false" ht="15" hidden="false" customHeight="false" outlineLevel="0" collapsed="false">
      <c r="A15" s="10" t="s">
        <v>74</v>
      </c>
      <c r="B15" s="5" t="s">
        <v>77</v>
      </c>
      <c r="C15" s="5" t="s">
        <v>78</v>
      </c>
      <c r="D15" s="5" t="s">
        <v>48</v>
      </c>
    </row>
    <row r="16" customFormat="false" ht="15" hidden="false" customHeight="false" outlineLevel="0" collapsed="false">
      <c r="A16" s="10" t="s">
        <v>74</v>
      </c>
      <c r="B16" s="5" t="s">
        <v>79</v>
      </c>
      <c r="C16" s="5" t="s">
        <v>80</v>
      </c>
      <c r="D16" s="5" t="s">
        <v>48</v>
      </c>
    </row>
    <row r="17" customFormat="false" ht="15" hidden="false" customHeight="false" outlineLevel="0" collapsed="false">
      <c r="A17" s="10" t="s">
        <v>81</v>
      </c>
      <c r="B17" s="5" t="s">
        <v>82</v>
      </c>
      <c r="C17" s="5" t="s">
        <v>83</v>
      </c>
      <c r="D17" s="5" t="s">
        <v>48</v>
      </c>
    </row>
    <row r="18" customFormat="false" ht="15" hidden="false" customHeight="false" outlineLevel="0" collapsed="false">
      <c r="A18" s="10" t="s">
        <v>81</v>
      </c>
      <c r="B18" s="5" t="s">
        <v>84</v>
      </c>
      <c r="C18" s="5" t="s">
        <v>85</v>
      </c>
      <c r="D18" s="5" t="s">
        <v>69</v>
      </c>
    </row>
    <row r="19" customFormat="false" ht="15" hidden="false" customHeight="false" outlineLevel="0" collapsed="false">
      <c r="A19" s="10" t="s">
        <v>81</v>
      </c>
      <c r="B19" s="5" t="s">
        <v>86</v>
      </c>
      <c r="C19" s="5" t="s">
        <v>87</v>
      </c>
      <c r="D19" s="5" t="s">
        <v>69</v>
      </c>
    </row>
    <row r="20" customFormat="false" ht="15" hidden="false" customHeight="false" outlineLevel="0" collapsed="false">
      <c r="A20" s="10" t="s">
        <v>81</v>
      </c>
      <c r="B20" s="5" t="s">
        <v>88</v>
      </c>
      <c r="C20" s="5" t="s">
        <v>89</v>
      </c>
      <c r="D20" s="5" t="s">
        <v>48</v>
      </c>
    </row>
    <row r="21" customFormat="false" ht="15" hidden="false" customHeight="false" outlineLevel="0" collapsed="false">
      <c r="A21" s="10" t="s">
        <v>81</v>
      </c>
      <c r="B21" s="5" t="s">
        <v>90</v>
      </c>
      <c r="C21" s="5" t="s">
        <v>91</v>
      </c>
      <c r="D21" s="5" t="s">
        <v>48</v>
      </c>
    </row>
    <row r="22" customFormat="false" ht="23.85" hidden="false" customHeight="false" outlineLevel="0" collapsed="false">
      <c r="A22" s="10" t="s">
        <v>92</v>
      </c>
      <c r="B22" s="5" t="s">
        <v>93</v>
      </c>
      <c r="C22" s="5" t="s">
        <v>94</v>
      </c>
      <c r="D22" s="5" t="s">
        <v>48</v>
      </c>
    </row>
    <row r="23" customFormat="false" ht="23.85" hidden="false" customHeight="false" outlineLevel="0" collapsed="false">
      <c r="A23" s="10" t="s">
        <v>92</v>
      </c>
      <c r="B23" s="5" t="s">
        <v>95</v>
      </c>
      <c r="C23" s="5" t="s">
        <v>96</v>
      </c>
      <c r="D23" s="5" t="s">
        <v>48</v>
      </c>
    </row>
    <row r="24" customFormat="false" ht="15" hidden="false" customHeight="false" outlineLevel="0" collapsed="false">
      <c r="A24" s="10" t="s">
        <v>92</v>
      </c>
      <c r="B24" s="5" t="s">
        <v>97</v>
      </c>
      <c r="C24" s="5" t="s">
        <v>98</v>
      </c>
      <c r="D24" s="5" t="s">
        <v>69</v>
      </c>
    </row>
    <row r="25" customFormat="false" ht="15" hidden="false" customHeight="false" outlineLevel="0" collapsed="false">
      <c r="A25" s="10" t="s">
        <v>92</v>
      </c>
      <c r="B25" s="5" t="s">
        <v>99</v>
      </c>
      <c r="C25" s="5" t="s">
        <v>100</v>
      </c>
      <c r="D25" s="5" t="s">
        <v>48</v>
      </c>
    </row>
    <row r="26" customFormat="false" ht="23.85" hidden="false" customHeight="false" outlineLevel="0" collapsed="false">
      <c r="A26" s="10" t="s">
        <v>101</v>
      </c>
      <c r="B26" s="5" t="s">
        <v>102</v>
      </c>
      <c r="C26" s="5" t="s">
        <v>103</v>
      </c>
      <c r="D26" s="5" t="s">
        <v>48</v>
      </c>
    </row>
    <row r="27" customFormat="false" ht="23.85" hidden="false" customHeight="false" outlineLevel="0" collapsed="false">
      <c r="A27" s="10" t="s">
        <v>101</v>
      </c>
      <c r="B27" s="5" t="s">
        <v>104</v>
      </c>
      <c r="C27" s="5" t="s">
        <v>105</v>
      </c>
      <c r="D27" s="5" t="s">
        <v>48</v>
      </c>
    </row>
    <row r="28" customFormat="false" ht="15" hidden="false" customHeight="false" outlineLevel="0" collapsed="false">
      <c r="A28" s="10" t="s">
        <v>101</v>
      </c>
      <c r="B28" s="5" t="s">
        <v>106</v>
      </c>
      <c r="C28" s="5" t="s">
        <v>107</v>
      </c>
      <c r="D28" s="5" t="s">
        <v>48</v>
      </c>
    </row>
    <row r="29" customFormat="false" ht="23.85" hidden="false" customHeight="false" outlineLevel="0" collapsed="false">
      <c r="A29" s="10" t="s">
        <v>101</v>
      </c>
      <c r="B29" s="5" t="s">
        <v>108</v>
      </c>
      <c r="C29" s="5" t="s">
        <v>109</v>
      </c>
      <c r="D29" s="5" t="s">
        <v>48</v>
      </c>
    </row>
  </sheetData>
  <autoFilter ref="A1:D29"/>
  <conditionalFormatting sqref="D2:D29">
    <cfRule type="expression" priority="2" aboveAverage="0" equalAverage="0" bottom="0" percent="0" rank="0" text="" dxfId="5">
      <formula>OR(ISNUMBER(SEARCH("unsure",$D2)),ISNUMBER(SEARCH("unknown",$D2)),ISNUMBER(SEARCH("inferred",$D2)))</formula>
    </cfRule>
    <cfRule type="expression" priority="3" aboveAverage="0" equalAverage="0" bottom="0" percent="0" rank="0" text="" dxfId="6">
      <formula>OR(ISNUMBER(SEARCH("decided",$D2)),ISNUMBER(SEARCH("not started",$D2)),ISNUMBER(SEARCH("partly",$D2)),ISNUMBER(SEARCH("convention",$D2)))</formula>
    </cfRule>
    <cfRule type="expression" priority="4" aboveAverage="0" equalAverage="0" bottom="0" percent="0" rank="0" text="" dxfId="7">
      <formula>OR(ISNUMBER(SEARCH("implemented",$D2)),ISNUMBER(SEARCH("done",$D2)),ISNUMBER(SEARCH("sure",$D2)))</formula>
    </cfRule>
    <cfRule type="expression" priority="5" aboveAverage="0" equalAverage="0" bottom="0" percent="0" rank="0" text="" dxfId="8">
      <formula>OR(ISNUMBER(SEARCH("replaced",$D2)))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9" t="s">
        <v>110</v>
      </c>
      <c r="B1" s="9" t="s">
        <v>111</v>
      </c>
      <c r="C1" s="9" t="s">
        <v>112</v>
      </c>
      <c r="D1" s="9" t="s">
        <v>113</v>
      </c>
      <c r="E1" s="9" t="s">
        <v>114</v>
      </c>
    </row>
    <row r="2" customFormat="false" ht="15" hidden="false" customHeight="false" outlineLevel="0" collapsed="false">
      <c r="A2" s="10" t="s">
        <v>115</v>
      </c>
      <c r="B2" s="5" t="s">
        <v>116</v>
      </c>
      <c r="C2" s="5" t="s">
        <v>117</v>
      </c>
      <c r="D2" s="5" t="s">
        <v>118</v>
      </c>
      <c r="E2" s="5" t="s">
        <v>119</v>
      </c>
    </row>
    <row r="3" customFormat="false" ht="15" hidden="false" customHeight="false" outlineLevel="0" collapsed="false">
      <c r="A3" s="10" t="s">
        <v>120</v>
      </c>
      <c r="B3" s="5" t="s">
        <v>121</v>
      </c>
      <c r="C3" s="5" t="s">
        <v>117</v>
      </c>
      <c r="D3" s="5" t="s">
        <v>118</v>
      </c>
      <c r="E3" s="5"/>
    </row>
    <row r="4" customFormat="false" ht="15" hidden="false" customHeight="false" outlineLevel="0" collapsed="false">
      <c r="A4" s="10" t="s">
        <v>122</v>
      </c>
      <c r="B4" s="5" t="s">
        <v>123</v>
      </c>
      <c r="C4" s="5" t="s">
        <v>124</v>
      </c>
      <c r="D4" s="5" t="s">
        <v>118</v>
      </c>
      <c r="E4" s="5"/>
    </row>
    <row r="5" customFormat="false" ht="15" hidden="false" customHeight="false" outlineLevel="0" collapsed="false">
      <c r="A5" s="10" t="s">
        <v>125</v>
      </c>
      <c r="B5" s="5" t="s">
        <v>126</v>
      </c>
      <c r="C5" s="5" t="s">
        <v>127</v>
      </c>
      <c r="D5" s="5" t="s">
        <v>118</v>
      </c>
      <c r="E5" s="5" t="s">
        <v>128</v>
      </c>
    </row>
    <row r="6" customFormat="false" ht="15" hidden="false" customHeight="false" outlineLevel="0" collapsed="false">
      <c r="A6" s="10" t="s">
        <v>129</v>
      </c>
      <c r="B6" s="5" t="s">
        <v>130</v>
      </c>
      <c r="C6" s="5" t="s">
        <v>131</v>
      </c>
      <c r="D6" s="5" t="s">
        <v>118</v>
      </c>
      <c r="E6" s="5" t="s">
        <v>128</v>
      </c>
    </row>
    <row r="7" customFormat="false" ht="15" hidden="false" customHeight="false" outlineLevel="0" collapsed="false">
      <c r="A7" s="10" t="s">
        <v>132</v>
      </c>
      <c r="B7" s="5" t="s">
        <v>133</v>
      </c>
      <c r="C7" s="5" t="s">
        <v>134</v>
      </c>
      <c r="D7" s="5" t="s">
        <v>118</v>
      </c>
      <c r="E7" s="5" t="s">
        <v>128</v>
      </c>
    </row>
    <row r="8" customFormat="false" ht="15" hidden="false" customHeight="false" outlineLevel="0" collapsed="false">
      <c r="A8" s="10" t="s">
        <v>135</v>
      </c>
      <c r="B8" s="5" t="s">
        <v>136</v>
      </c>
      <c r="C8" s="5" t="s">
        <v>137</v>
      </c>
      <c r="D8" s="5" t="s">
        <v>138</v>
      </c>
      <c r="E8" s="5" t="s">
        <v>139</v>
      </c>
    </row>
    <row r="9" customFormat="false" ht="15" hidden="false" customHeight="false" outlineLevel="0" collapsed="false">
      <c r="A9" s="10" t="s">
        <v>140</v>
      </c>
      <c r="B9" s="5" t="s">
        <v>141</v>
      </c>
      <c r="C9" s="5" t="s">
        <v>142</v>
      </c>
      <c r="D9" s="5" t="s">
        <v>143</v>
      </c>
      <c r="E9" s="5" t="s">
        <v>144</v>
      </c>
    </row>
    <row r="10" customFormat="false" ht="15" hidden="false" customHeight="false" outlineLevel="0" collapsed="false">
      <c r="A10" s="10" t="s">
        <v>145</v>
      </c>
      <c r="B10" s="5" t="s">
        <v>146</v>
      </c>
      <c r="C10" s="5" t="s">
        <v>142</v>
      </c>
      <c r="D10" s="5" t="s">
        <v>143</v>
      </c>
      <c r="E10" s="5"/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9" t="s">
        <v>114</v>
      </c>
      <c r="B1" s="9" t="s">
        <v>147</v>
      </c>
      <c r="C1" s="9" t="s">
        <v>44</v>
      </c>
    </row>
    <row r="2" customFormat="false" ht="23.85" hidden="false" customHeight="false" outlineLevel="0" collapsed="false">
      <c r="A2" s="10" t="s">
        <v>148</v>
      </c>
      <c r="B2" s="5" t="s">
        <v>149</v>
      </c>
      <c r="C2" s="5" t="s">
        <v>48</v>
      </c>
    </row>
    <row r="3" customFormat="false" ht="23.85" hidden="false" customHeight="false" outlineLevel="0" collapsed="false">
      <c r="A3" s="10" t="s">
        <v>150</v>
      </c>
      <c r="B3" s="5" t="s">
        <v>151</v>
      </c>
      <c r="C3" s="5" t="s">
        <v>48</v>
      </c>
    </row>
    <row r="4" customFormat="false" ht="23.85" hidden="false" customHeight="false" outlineLevel="0" collapsed="false">
      <c r="A4" s="10" t="s">
        <v>152</v>
      </c>
      <c r="B4" s="5" t="s">
        <v>153</v>
      </c>
      <c r="C4" s="5" t="s">
        <v>48</v>
      </c>
    </row>
    <row r="5" customFormat="false" ht="15" hidden="false" customHeight="false" outlineLevel="0" collapsed="false">
      <c r="A5" s="10" t="s">
        <v>154</v>
      </c>
      <c r="B5" s="5" t="s">
        <v>155</v>
      </c>
      <c r="C5" s="5" t="s">
        <v>69</v>
      </c>
    </row>
    <row r="6" customFormat="false" ht="23.85" hidden="false" customHeight="false" outlineLevel="0" collapsed="false">
      <c r="A6" s="10" t="s">
        <v>156</v>
      </c>
      <c r="B6" s="5" t="s">
        <v>157</v>
      </c>
      <c r="C6" s="5" t="s">
        <v>158</v>
      </c>
    </row>
    <row r="7" customFormat="false" ht="15" hidden="false" customHeight="false" outlineLevel="0" collapsed="false">
      <c r="A7" s="10" t="s">
        <v>159</v>
      </c>
      <c r="B7" s="5" t="s">
        <v>160</v>
      </c>
      <c r="C7" s="5" t="s">
        <v>158</v>
      </c>
    </row>
    <row r="8" customFormat="false" ht="15" hidden="false" customHeight="false" outlineLevel="0" collapsed="false">
      <c r="A8" s="10" t="s">
        <v>161</v>
      </c>
      <c r="B8" s="5" t="s">
        <v>162</v>
      </c>
      <c r="C8" s="5" t="s">
        <v>158</v>
      </c>
    </row>
    <row r="9" customFormat="false" ht="15" hidden="false" customHeight="false" outlineLevel="0" collapsed="false">
      <c r="A9" s="10" t="s">
        <v>163</v>
      </c>
      <c r="B9" s="5" t="s">
        <v>164</v>
      </c>
      <c r="C9" s="5" t="s">
        <v>158</v>
      </c>
    </row>
    <row r="10" customFormat="false" ht="15" hidden="false" customHeight="false" outlineLevel="0" collapsed="false">
      <c r="A10" s="10" t="s">
        <v>165</v>
      </c>
      <c r="B10" s="5" t="s">
        <v>166</v>
      </c>
      <c r="C10" s="5" t="s">
        <v>48</v>
      </c>
    </row>
  </sheetData>
  <autoFilter ref="A1:C10"/>
  <conditionalFormatting sqref="C2:C10">
    <cfRule type="expression" priority="2" aboveAverage="0" equalAverage="0" bottom="0" percent="0" rank="0" text="" dxfId="5">
      <formula>OR(ISNUMBER(SEARCH("unsure",$C2)),ISNUMBER(SEARCH("unknown",$C2)),ISNUMBER(SEARCH("inferred",$C2)))</formula>
    </cfRule>
    <cfRule type="expression" priority="3" aboveAverage="0" equalAverage="0" bottom="0" percent="0" rank="0" text="" dxfId="6">
      <formula>OR(ISNUMBER(SEARCH("decided",$C2)),ISNUMBER(SEARCH("not started",$C2)),ISNUMBER(SEARCH("partly",$C2)),ISNUMBER(SEARCH("convention",$C2)))</formula>
    </cfRule>
    <cfRule type="expression" priority="4" aboveAverage="0" equalAverage="0" bottom="0" percent="0" rank="0" text="" dxfId="7">
      <formula>OR(ISNUMBER(SEARCH("implemented",$C2)),ISNUMBER(SEARCH("done",$C2)),ISNUMBER(SEARCH("sure",$C2)))</formula>
    </cfRule>
    <cfRule type="expression" priority="5" aboveAverage="0" equalAverage="0" bottom="0" percent="0" rank="0" text="" dxfId="8">
      <formula>OR(ISNUMBER(SEARCH("replaced",$C2)))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9" t="s">
        <v>167</v>
      </c>
      <c r="B1" s="9" t="s">
        <v>168</v>
      </c>
      <c r="C1" s="9" t="s">
        <v>169</v>
      </c>
    </row>
    <row r="2" customFormat="false" ht="15" hidden="false" customHeight="false" outlineLevel="0" collapsed="false">
      <c r="A2" s="10" t="s">
        <v>170</v>
      </c>
      <c r="B2" s="5" t="s">
        <v>171</v>
      </c>
      <c r="C2" s="5" t="s">
        <v>172</v>
      </c>
    </row>
    <row r="3" customFormat="false" ht="15" hidden="false" customHeight="false" outlineLevel="0" collapsed="false">
      <c r="A3" s="10" t="s">
        <v>173</v>
      </c>
      <c r="B3" s="5" t="s">
        <v>171</v>
      </c>
      <c r="C3" s="5" t="s">
        <v>174</v>
      </c>
    </row>
    <row r="4" customFormat="false" ht="15" hidden="false" customHeight="false" outlineLevel="0" collapsed="false">
      <c r="A4" s="10" t="s">
        <v>175</v>
      </c>
      <c r="B4" s="5" t="s">
        <v>171</v>
      </c>
      <c r="C4" s="5" t="s">
        <v>176</v>
      </c>
    </row>
    <row r="5" customFormat="false" ht="15" hidden="false" customHeight="false" outlineLevel="0" collapsed="false">
      <c r="A5" s="10" t="s">
        <v>177</v>
      </c>
      <c r="B5" s="5" t="s">
        <v>171</v>
      </c>
      <c r="C5" s="5" t="s">
        <v>178</v>
      </c>
    </row>
    <row r="6" customFormat="false" ht="15" hidden="false" customHeight="false" outlineLevel="0" collapsed="false">
      <c r="A6" s="10" t="s">
        <v>179</v>
      </c>
      <c r="B6" s="5" t="s">
        <v>171</v>
      </c>
      <c r="C6" s="5" t="s">
        <v>180</v>
      </c>
    </row>
    <row r="7" customFormat="false" ht="15" hidden="false" customHeight="false" outlineLevel="0" collapsed="false">
      <c r="A7" s="10" t="s">
        <v>181</v>
      </c>
      <c r="B7" s="5" t="s">
        <v>171</v>
      </c>
      <c r="C7" s="5" t="s">
        <v>182</v>
      </c>
    </row>
    <row r="8" customFormat="false" ht="15" hidden="false" customHeight="false" outlineLevel="0" collapsed="false">
      <c r="A8" s="10" t="s">
        <v>183</v>
      </c>
      <c r="B8" s="5" t="s">
        <v>171</v>
      </c>
      <c r="C8" s="5" t="s">
        <v>184</v>
      </c>
    </row>
    <row r="9" customFormat="false" ht="15" hidden="false" customHeight="false" outlineLevel="0" collapsed="false">
      <c r="A9" s="10" t="s">
        <v>185</v>
      </c>
      <c r="B9" s="5" t="s">
        <v>171</v>
      </c>
      <c r="C9" s="5" t="s">
        <v>186</v>
      </c>
    </row>
    <row r="10" customFormat="false" ht="15" hidden="false" customHeight="false" outlineLevel="0" collapsed="false">
      <c r="A10" s="10" t="s">
        <v>187</v>
      </c>
      <c r="B10" s="5" t="s">
        <v>171</v>
      </c>
      <c r="C10" s="5" t="s">
        <v>188</v>
      </c>
    </row>
    <row r="11" customFormat="false" ht="15" hidden="false" customHeight="false" outlineLevel="0" collapsed="false">
      <c r="A11" s="10" t="s">
        <v>189</v>
      </c>
      <c r="B11" s="5" t="s">
        <v>171</v>
      </c>
      <c r="C11" s="5" t="s">
        <v>190</v>
      </c>
    </row>
    <row r="12" customFormat="false" ht="23.85" hidden="false" customHeight="false" outlineLevel="0" collapsed="false">
      <c r="A12" s="10" t="s">
        <v>191</v>
      </c>
      <c r="B12" s="5" t="s">
        <v>171</v>
      </c>
      <c r="C12" s="5" t="s">
        <v>192</v>
      </c>
    </row>
    <row r="13" customFormat="false" ht="23.85" hidden="false" customHeight="false" outlineLevel="0" collapsed="false">
      <c r="A13" s="10" t="s">
        <v>193</v>
      </c>
      <c r="B13" s="5" t="s">
        <v>194</v>
      </c>
      <c r="C13" s="5" t="s">
        <v>195</v>
      </c>
    </row>
    <row r="14" customFormat="false" ht="15" hidden="false" customHeight="false" outlineLevel="0" collapsed="false">
      <c r="A14" s="10" t="s">
        <v>196</v>
      </c>
      <c r="B14" s="5" t="s">
        <v>194</v>
      </c>
      <c r="C14" s="5" t="s">
        <v>197</v>
      </c>
    </row>
    <row r="15" customFormat="false" ht="15" hidden="false" customHeight="false" outlineLevel="0" collapsed="false">
      <c r="A15" s="10" t="s">
        <v>198</v>
      </c>
      <c r="B15" s="5" t="s">
        <v>194</v>
      </c>
      <c r="C15" s="5" t="s">
        <v>199</v>
      </c>
    </row>
    <row r="16" customFormat="false" ht="23.85" hidden="false" customHeight="false" outlineLevel="0" collapsed="false">
      <c r="A16" s="10" t="s">
        <v>200</v>
      </c>
      <c r="B16" s="5" t="s">
        <v>194</v>
      </c>
      <c r="C16" s="5" t="s">
        <v>201</v>
      </c>
    </row>
    <row r="17" customFormat="false" ht="15" hidden="false" customHeight="false" outlineLevel="0" collapsed="false">
      <c r="A17" s="10" t="s">
        <v>202</v>
      </c>
      <c r="B17" s="5" t="s">
        <v>194</v>
      </c>
      <c r="C17" s="5" t="s">
        <v>203</v>
      </c>
    </row>
    <row r="18" customFormat="false" ht="15" hidden="false" customHeight="false" outlineLevel="0" collapsed="false">
      <c r="A18" s="10" t="s">
        <v>204</v>
      </c>
      <c r="B18" s="5" t="s">
        <v>194</v>
      </c>
      <c r="C18" s="5" t="s">
        <v>205</v>
      </c>
    </row>
    <row r="19" customFormat="false" ht="15" hidden="false" customHeight="false" outlineLevel="0" collapsed="false">
      <c r="A19" s="10" t="s">
        <v>206</v>
      </c>
      <c r="B19" s="5" t="s">
        <v>194</v>
      </c>
      <c r="C19" s="5" t="s">
        <v>207</v>
      </c>
    </row>
    <row r="20" customFormat="false" ht="15" hidden="false" customHeight="false" outlineLevel="0" collapsed="false">
      <c r="A20" s="10" t="s">
        <v>208</v>
      </c>
      <c r="B20" s="5" t="s">
        <v>194</v>
      </c>
      <c r="C20" s="5" t="s">
        <v>209</v>
      </c>
    </row>
    <row r="21" customFormat="false" ht="23.85" hidden="false" customHeight="false" outlineLevel="0" collapsed="false">
      <c r="A21" s="10" t="s">
        <v>210</v>
      </c>
      <c r="B21" s="5" t="s">
        <v>194</v>
      </c>
      <c r="C21" s="5" t="s">
        <v>211</v>
      </c>
    </row>
    <row r="22" customFormat="false" ht="15" hidden="false" customHeight="false" outlineLevel="0" collapsed="false">
      <c r="A22" s="10" t="s">
        <v>212</v>
      </c>
      <c r="B22" s="5" t="s">
        <v>194</v>
      </c>
      <c r="C22" s="5" t="s">
        <v>213</v>
      </c>
    </row>
    <row r="23" customFormat="false" ht="15" hidden="false" customHeight="false" outlineLevel="0" collapsed="false">
      <c r="A23" s="10" t="s">
        <v>214</v>
      </c>
      <c r="B23" s="5" t="s">
        <v>194</v>
      </c>
      <c r="C23" s="5" t="s">
        <v>215</v>
      </c>
    </row>
    <row r="24" customFormat="false" ht="15" hidden="false" customHeight="false" outlineLevel="0" collapsed="false">
      <c r="A24" s="10" t="s">
        <v>216</v>
      </c>
      <c r="B24" s="5" t="s">
        <v>217</v>
      </c>
      <c r="C24" s="5" t="s">
        <v>218</v>
      </c>
    </row>
    <row r="25" customFormat="false" ht="15" hidden="false" customHeight="false" outlineLevel="0" collapsed="false">
      <c r="A25" s="10" t="s">
        <v>219</v>
      </c>
      <c r="B25" s="5" t="s">
        <v>217</v>
      </c>
      <c r="C25" s="5" t="s">
        <v>220</v>
      </c>
    </row>
    <row r="26" customFormat="false" ht="15" hidden="false" customHeight="false" outlineLevel="0" collapsed="false">
      <c r="A26" s="10" t="s">
        <v>221</v>
      </c>
      <c r="B26" s="5" t="s">
        <v>217</v>
      </c>
      <c r="C26" s="5" t="s">
        <v>222</v>
      </c>
    </row>
    <row r="27" customFormat="false" ht="15" hidden="false" customHeight="false" outlineLevel="0" collapsed="false">
      <c r="A27" s="10" t="s">
        <v>223</v>
      </c>
      <c r="B27" s="5" t="s">
        <v>217</v>
      </c>
      <c r="C27" s="5" t="s">
        <v>224</v>
      </c>
    </row>
    <row r="28" customFormat="false" ht="23.85" hidden="false" customHeight="false" outlineLevel="0" collapsed="false">
      <c r="A28" s="10" t="s">
        <v>225</v>
      </c>
      <c r="B28" s="5" t="s">
        <v>217</v>
      </c>
      <c r="C28" s="5" t="s">
        <v>226</v>
      </c>
    </row>
    <row r="29" customFormat="false" ht="15" hidden="false" customHeight="false" outlineLevel="0" collapsed="false">
      <c r="A29" s="10" t="s">
        <v>227</v>
      </c>
      <c r="B29" s="5" t="s">
        <v>217</v>
      </c>
      <c r="C29" s="5" t="s">
        <v>228</v>
      </c>
    </row>
    <row r="30" customFormat="false" ht="23.85" hidden="false" customHeight="false" outlineLevel="0" collapsed="false">
      <c r="A30" s="10" t="s">
        <v>229</v>
      </c>
      <c r="B30" s="5" t="s">
        <v>217</v>
      </c>
      <c r="C30" s="5" t="s">
        <v>230</v>
      </c>
    </row>
    <row r="31" customFormat="false" ht="15" hidden="false" customHeight="false" outlineLevel="0" collapsed="false">
      <c r="A31" s="10" t="s">
        <v>231</v>
      </c>
      <c r="B31" s="5" t="s">
        <v>217</v>
      </c>
      <c r="C31" s="5" t="s">
        <v>232</v>
      </c>
    </row>
    <row r="32" customFormat="false" ht="15" hidden="false" customHeight="false" outlineLevel="0" collapsed="false">
      <c r="A32" s="10" t="s">
        <v>233</v>
      </c>
      <c r="B32" s="5" t="s">
        <v>217</v>
      </c>
      <c r="C32" s="5" t="s">
        <v>234</v>
      </c>
    </row>
    <row r="33" customFormat="false" ht="15" hidden="false" customHeight="false" outlineLevel="0" collapsed="false">
      <c r="A33" s="10" t="s">
        <v>235</v>
      </c>
      <c r="B33" s="5" t="s">
        <v>217</v>
      </c>
      <c r="C33" s="5" t="s">
        <v>236</v>
      </c>
    </row>
    <row r="34" customFormat="false" ht="15" hidden="false" customHeight="false" outlineLevel="0" collapsed="false">
      <c r="A34" s="10" t="s">
        <v>237</v>
      </c>
      <c r="B34" s="5" t="s">
        <v>217</v>
      </c>
      <c r="C34" s="5" t="s">
        <v>238</v>
      </c>
    </row>
    <row r="35" customFormat="false" ht="15" hidden="false" customHeight="false" outlineLevel="0" collapsed="false">
      <c r="A35" s="10" t="s">
        <v>239</v>
      </c>
      <c r="B35" s="5" t="s">
        <v>217</v>
      </c>
      <c r="C35" s="5" t="s">
        <v>240</v>
      </c>
    </row>
    <row r="36" customFormat="false" ht="15" hidden="false" customHeight="false" outlineLevel="0" collapsed="false">
      <c r="A36" s="10" t="s">
        <v>241</v>
      </c>
      <c r="B36" s="5" t="s">
        <v>217</v>
      </c>
      <c r="C36" s="5" t="s">
        <v>242</v>
      </c>
    </row>
    <row r="37" customFormat="false" ht="15" hidden="false" customHeight="false" outlineLevel="0" collapsed="false">
      <c r="A37" s="10" t="s">
        <v>243</v>
      </c>
      <c r="B37" s="5" t="s">
        <v>244</v>
      </c>
      <c r="C37" s="5" t="s">
        <v>245</v>
      </c>
    </row>
    <row r="38" customFormat="false" ht="15" hidden="false" customHeight="false" outlineLevel="0" collapsed="false">
      <c r="A38" s="10" t="s">
        <v>246</v>
      </c>
      <c r="B38" s="5" t="s">
        <v>244</v>
      </c>
      <c r="C38" s="5" t="s">
        <v>247</v>
      </c>
    </row>
    <row r="39" customFormat="false" ht="15" hidden="false" customHeight="false" outlineLevel="0" collapsed="false">
      <c r="A39" s="10" t="s">
        <v>248</v>
      </c>
      <c r="B39" s="5" t="s">
        <v>244</v>
      </c>
      <c r="C39" s="5" t="s">
        <v>249</v>
      </c>
    </row>
    <row r="40" customFormat="false" ht="15" hidden="false" customHeight="false" outlineLevel="0" collapsed="false">
      <c r="A40" s="10" t="s">
        <v>250</v>
      </c>
      <c r="B40" s="5" t="s">
        <v>244</v>
      </c>
      <c r="C40" s="5" t="s">
        <v>251</v>
      </c>
    </row>
    <row r="41" customFormat="false" ht="15" hidden="false" customHeight="false" outlineLevel="0" collapsed="false">
      <c r="A41" s="10" t="s">
        <v>252</v>
      </c>
      <c r="B41" s="5" t="s">
        <v>244</v>
      </c>
      <c r="C41" s="5" t="s">
        <v>253</v>
      </c>
    </row>
    <row r="42" customFormat="false" ht="15" hidden="false" customHeight="false" outlineLevel="0" collapsed="false">
      <c r="A42" s="10" t="s">
        <v>254</v>
      </c>
      <c r="B42" s="5" t="s">
        <v>244</v>
      </c>
      <c r="C42" s="5" t="s">
        <v>255</v>
      </c>
    </row>
    <row r="43" customFormat="false" ht="15" hidden="false" customHeight="false" outlineLevel="0" collapsed="false">
      <c r="A43" s="10" t="s">
        <v>256</v>
      </c>
      <c r="B43" s="5" t="s">
        <v>244</v>
      </c>
      <c r="C43" s="5" t="s">
        <v>257</v>
      </c>
    </row>
    <row r="44" customFormat="false" ht="15" hidden="false" customHeight="false" outlineLevel="0" collapsed="false">
      <c r="A44" s="10" t="s">
        <v>258</v>
      </c>
      <c r="B44" s="5" t="s">
        <v>244</v>
      </c>
      <c r="C44" s="5" t="s">
        <v>259</v>
      </c>
    </row>
    <row r="45" customFormat="false" ht="15" hidden="false" customHeight="false" outlineLevel="0" collapsed="false">
      <c r="A45" s="10" t="s">
        <v>260</v>
      </c>
      <c r="B45" s="5" t="s">
        <v>244</v>
      </c>
      <c r="C45" s="5" t="s">
        <v>261</v>
      </c>
    </row>
    <row r="46" customFormat="false" ht="23.85" hidden="false" customHeight="false" outlineLevel="0" collapsed="false">
      <c r="A46" s="10" t="s">
        <v>262</v>
      </c>
      <c r="B46" s="5" t="s">
        <v>244</v>
      </c>
      <c r="C46" s="5" t="s">
        <v>263</v>
      </c>
    </row>
    <row r="47" customFormat="false" ht="15" hidden="false" customHeight="false" outlineLevel="0" collapsed="false">
      <c r="A47" s="10" t="s">
        <v>264</v>
      </c>
      <c r="B47" s="5" t="s">
        <v>244</v>
      </c>
      <c r="C47" s="5" t="s">
        <v>265</v>
      </c>
    </row>
    <row r="48" customFormat="false" ht="15" hidden="false" customHeight="false" outlineLevel="0" collapsed="false">
      <c r="A48" s="10" t="s">
        <v>77</v>
      </c>
      <c r="B48" s="5" t="s">
        <v>244</v>
      </c>
      <c r="C48" s="5" t="s">
        <v>266</v>
      </c>
    </row>
    <row r="49" customFormat="false" ht="15" hidden="false" customHeight="false" outlineLevel="0" collapsed="false">
      <c r="A49" s="10" t="s">
        <v>267</v>
      </c>
      <c r="B49" s="5" t="s">
        <v>268</v>
      </c>
      <c r="C49" s="5" t="s">
        <v>269</v>
      </c>
    </row>
    <row r="50" customFormat="false" ht="15" hidden="false" customHeight="false" outlineLevel="0" collapsed="false">
      <c r="A50" s="10" t="s">
        <v>270</v>
      </c>
      <c r="B50" s="5" t="s">
        <v>268</v>
      </c>
      <c r="C50" s="5" t="s">
        <v>271</v>
      </c>
    </row>
    <row r="51" customFormat="false" ht="15" hidden="false" customHeight="false" outlineLevel="0" collapsed="false">
      <c r="A51" s="10" t="s">
        <v>272</v>
      </c>
      <c r="B51" s="5" t="s">
        <v>268</v>
      </c>
      <c r="C51" s="5" t="s">
        <v>273</v>
      </c>
    </row>
    <row r="52" customFormat="false" ht="15" hidden="false" customHeight="false" outlineLevel="0" collapsed="false">
      <c r="A52" s="10" t="s">
        <v>274</v>
      </c>
      <c r="B52" s="5" t="s">
        <v>268</v>
      </c>
      <c r="C52" s="5" t="s">
        <v>275</v>
      </c>
    </row>
    <row r="53" customFormat="false" ht="23.85" hidden="false" customHeight="false" outlineLevel="0" collapsed="false">
      <c r="A53" s="10" t="s">
        <v>276</v>
      </c>
      <c r="B53" s="5" t="s">
        <v>277</v>
      </c>
      <c r="C53" s="5" t="s">
        <v>278</v>
      </c>
    </row>
    <row r="54" customFormat="false" ht="15" hidden="false" customHeight="false" outlineLevel="0" collapsed="false">
      <c r="A54" s="10" t="s">
        <v>279</v>
      </c>
      <c r="B54" s="5" t="s">
        <v>277</v>
      </c>
      <c r="C54" s="5" t="s">
        <v>280</v>
      </c>
    </row>
    <row r="55" customFormat="false" ht="23.85" hidden="false" customHeight="false" outlineLevel="0" collapsed="false">
      <c r="A55" s="10" t="s">
        <v>281</v>
      </c>
      <c r="B55" s="5" t="s">
        <v>277</v>
      </c>
      <c r="C55" s="5" t="s">
        <v>282</v>
      </c>
    </row>
    <row r="56" customFormat="false" ht="15" hidden="false" customHeight="false" outlineLevel="0" collapsed="false">
      <c r="A56" s="10" t="s">
        <v>283</v>
      </c>
      <c r="B56" s="5" t="s">
        <v>277</v>
      </c>
      <c r="C56" s="5" t="s">
        <v>284</v>
      </c>
    </row>
    <row r="57" customFormat="false" ht="15" hidden="false" customHeight="false" outlineLevel="0" collapsed="false">
      <c r="A57" s="10" t="s">
        <v>285</v>
      </c>
      <c r="B57" s="5" t="s">
        <v>277</v>
      </c>
      <c r="C57" s="5" t="s">
        <v>286</v>
      </c>
    </row>
    <row r="58" customFormat="false" ht="15" hidden="false" customHeight="false" outlineLevel="0" collapsed="false">
      <c r="A58" s="10" t="s">
        <v>287</v>
      </c>
      <c r="B58" s="5" t="s">
        <v>277</v>
      </c>
      <c r="C58" s="5" t="s">
        <v>288</v>
      </c>
    </row>
    <row r="59" customFormat="false" ht="15" hidden="false" customHeight="false" outlineLevel="0" collapsed="false">
      <c r="A59" s="10" t="s">
        <v>289</v>
      </c>
      <c r="B59" s="5" t="s">
        <v>290</v>
      </c>
      <c r="C59" s="5" t="s">
        <v>291</v>
      </c>
    </row>
    <row r="60" customFormat="false" ht="15" hidden="false" customHeight="false" outlineLevel="0" collapsed="false">
      <c r="A60" s="10" t="s">
        <v>292</v>
      </c>
      <c r="B60" s="5" t="s">
        <v>290</v>
      </c>
      <c r="C60" s="5" t="s">
        <v>293</v>
      </c>
    </row>
    <row r="61" customFormat="false" ht="15" hidden="false" customHeight="false" outlineLevel="0" collapsed="false">
      <c r="A61" s="10" t="s">
        <v>294</v>
      </c>
      <c r="B61" s="5" t="s">
        <v>290</v>
      </c>
      <c r="C61" s="5" t="s">
        <v>295</v>
      </c>
    </row>
    <row r="62" customFormat="false" ht="15" hidden="false" customHeight="false" outlineLevel="0" collapsed="false">
      <c r="A62" s="10" t="s">
        <v>296</v>
      </c>
      <c r="B62" s="5" t="s">
        <v>290</v>
      </c>
      <c r="C62" s="5" t="s">
        <v>297</v>
      </c>
    </row>
  </sheetData>
  <autoFilter ref="A1:C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9" t="s">
        <v>298</v>
      </c>
      <c r="B1" s="9" t="s">
        <v>299</v>
      </c>
      <c r="C1" s="9" t="s">
        <v>300</v>
      </c>
    </row>
    <row r="2" customFormat="false" ht="15" hidden="false" customHeight="false" outlineLevel="0" collapsed="false">
      <c r="A2" s="10" t="s">
        <v>301</v>
      </c>
      <c r="B2" s="5" t="s">
        <v>302</v>
      </c>
      <c r="C2" s="5"/>
    </row>
    <row r="3" customFormat="false" ht="15" hidden="false" customHeight="false" outlineLevel="0" collapsed="false">
      <c r="A3" s="10" t="s">
        <v>303</v>
      </c>
      <c r="B3" s="5" t="s">
        <v>304</v>
      </c>
      <c r="C3" s="5"/>
    </row>
    <row r="4" customFormat="false" ht="15" hidden="false" customHeight="false" outlineLevel="0" collapsed="false">
      <c r="A4" s="10" t="s">
        <v>303</v>
      </c>
      <c r="B4" s="5" t="s">
        <v>305</v>
      </c>
      <c r="C4" s="5"/>
    </row>
    <row r="5" customFormat="false" ht="15" hidden="false" customHeight="false" outlineLevel="0" collapsed="false">
      <c r="A5" s="10" t="s">
        <v>303</v>
      </c>
      <c r="B5" s="5" t="s">
        <v>306</v>
      </c>
      <c r="C5" s="5"/>
    </row>
    <row r="6" customFormat="false" ht="15" hidden="false" customHeight="false" outlineLevel="0" collapsed="false">
      <c r="A6" s="10" t="s">
        <v>303</v>
      </c>
      <c r="B6" s="5" t="s">
        <v>307</v>
      </c>
      <c r="C6" s="5"/>
    </row>
    <row r="7" customFormat="false" ht="15" hidden="false" customHeight="false" outlineLevel="0" collapsed="false">
      <c r="A7" s="10" t="s">
        <v>303</v>
      </c>
      <c r="B7" s="5" t="s">
        <v>308</v>
      </c>
      <c r="C7" s="5"/>
    </row>
    <row r="8" customFormat="false" ht="15" hidden="false" customHeight="false" outlineLevel="0" collapsed="false">
      <c r="A8" s="10" t="s">
        <v>303</v>
      </c>
      <c r="B8" s="5" t="s">
        <v>309</v>
      </c>
      <c r="C8" s="5"/>
    </row>
    <row r="9" customFormat="false" ht="15" hidden="false" customHeight="false" outlineLevel="0" collapsed="false">
      <c r="A9" s="10" t="s">
        <v>310</v>
      </c>
      <c r="B9" s="5" t="s">
        <v>311</v>
      </c>
      <c r="C9" s="5"/>
    </row>
    <row r="10" customFormat="false" ht="15" hidden="false" customHeight="false" outlineLevel="0" collapsed="false">
      <c r="A10" s="10" t="s">
        <v>310</v>
      </c>
      <c r="B10" s="5" t="s">
        <v>312</v>
      </c>
      <c r="C10" s="5" t="s">
        <v>313</v>
      </c>
    </row>
    <row r="11" customFormat="false" ht="15" hidden="false" customHeight="false" outlineLevel="0" collapsed="false">
      <c r="A11" s="10" t="s">
        <v>310</v>
      </c>
      <c r="B11" s="5" t="s">
        <v>314</v>
      </c>
      <c r="C11" s="5" t="s">
        <v>315</v>
      </c>
    </row>
    <row r="12" customFormat="false" ht="15" hidden="false" customHeight="false" outlineLevel="0" collapsed="false">
      <c r="A12" s="10" t="s">
        <v>310</v>
      </c>
      <c r="B12" s="5" t="s">
        <v>316</v>
      </c>
      <c r="C12" s="5"/>
    </row>
    <row r="13" customFormat="false" ht="15" hidden="false" customHeight="false" outlineLevel="0" collapsed="false">
      <c r="A13" s="10" t="s">
        <v>310</v>
      </c>
      <c r="B13" s="5" t="s">
        <v>317</v>
      </c>
      <c r="C13" s="5"/>
    </row>
    <row r="14" customFormat="false" ht="15" hidden="false" customHeight="false" outlineLevel="0" collapsed="false">
      <c r="A14" s="10" t="s">
        <v>310</v>
      </c>
      <c r="B14" s="5" t="s">
        <v>318</v>
      </c>
      <c r="C14" s="5"/>
    </row>
    <row r="15" customFormat="false" ht="15" hidden="false" customHeight="false" outlineLevel="0" collapsed="false">
      <c r="A15" s="10" t="s">
        <v>156</v>
      </c>
      <c r="B15" s="5" t="s">
        <v>217</v>
      </c>
      <c r="C15" s="5"/>
    </row>
    <row r="16" customFormat="false" ht="15" hidden="false" customHeight="false" outlineLevel="0" collapsed="false">
      <c r="A16" s="10" t="s">
        <v>156</v>
      </c>
      <c r="B16" s="5" t="s">
        <v>319</v>
      </c>
      <c r="C16" s="5" t="s">
        <v>320</v>
      </c>
    </row>
    <row r="17" customFormat="false" ht="15" hidden="false" customHeight="false" outlineLevel="0" collapsed="false">
      <c r="A17" s="10" t="s">
        <v>156</v>
      </c>
      <c r="B17" s="5" t="s">
        <v>321</v>
      </c>
      <c r="C17" s="5"/>
    </row>
    <row r="18" customFormat="false" ht="15" hidden="false" customHeight="false" outlineLevel="0" collapsed="false">
      <c r="A18" s="10" t="s">
        <v>156</v>
      </c>
      <c r="B18" s="5" t="s">
        <v>322</v>
      </c>
      <c r="C18" s="5"/>
    </row>
    <row r="19" customFormat="false" ht="15" hidden="false" customHeight="false" outlineLevel="0" collapsed="false">
      <c r="A19" s="10" t="s">
        <v>323</v>
      </c>
      <c r="B19" s="5" t="s">
        <v>324</v>
      </c>
      <c r="C19" s="5"/>
    </row>
    <row r="20" customFormat="false" ht="15" hidden="false" customHeight="false" outlineLevel="0" collapsed="false">
      <c r="A20" s="10" t="s">
        <v>323</v>
      </c>
      <c r="B20" s="5" t="s">
        <v>325</v>
      </c>
      <c r="C20" s="5"/>
    </row>
    <row r="21" customFormat="false" ht="15" hidden="false" customHeight="false" outlineLevel="0" collapsed="false">
      <c r="A21" s="10" t="s">
        <v>323</v>
      </c>
      <c r="B21" s="5" t="s">
        <v>326</v>
      </c>
      <c r="C21" s="5"/>
    </row>
    <row r="22" customFormat="false" ht="15" hidden="false" customHeight="false" outlineLevel="0" collapsed="false">
      <c r="A22" s="10" t="s">
        <v>323</v>
      </c>
      <c r="B22" s="5" t="s">
        <v>327</v>
      </c>
      <c r="C22" s="5"/>
    </row>
    <row r="23" customFormat="false" ht="15" hidden="false" customHeight="false" outlineLevel="0" collapsed="false">
      <c r="A23" s="10" t="s">
        <v>323</v>
      </c>
      <c r="B23" s="5" t="s">
        <v>328</v>
      </c>
      <c r="C23" s="5"/>
    </row>
    <row r="24" customFormat="false" ht="15" hidden="false" customHeight="false" outlineLevel="0" collapsed="false">
      <c r="A24" s="10" t="s">
        <v>329</v>
      </c>
      <c r="B24" s="5" t="s">
        <v>330</v>
      </c>
      <c r="C24" s="5"/>
    </row>
    <row r="25" customFormat="false" ht="15" hidden="false" customHeight="false" outlineLevel="0" collapsed="false">
      <c r="A25" s="10" t="s">
        <v>329</v>
      </c>
      <c r="B25" s="5" t="s">
        <v>88</v>
      </c>
      <c r="C25" s="5"/>
    </row>
    <row r="26" customFormat="false" ht="15" hidden="false" customHeight="false" outlineLevel="0" collapsed="false">
      <c r="A26" s="10" t="s">
        <v>329</v>
      </c>
      <c r="B26" s="5" t="s">
        <v>331</v>
      </c>
      <c r="C26" s="5"/>
    </row>
    <row r="27" customFormat="false" ht="15" hidden="false" customHeight="false" outlineLevel="0" collapsed="false">
      <c r="A27" s="10" t="s">
        <v>329</v>
      </c>
      <c r="B27" s="5" t="s">
        <v>332</v>
      </c>
      <c r="C27" s="5"/>
    </row>
    <row r="28" customFormat="false" ht="15" hidden="false" customHeight="false" outlineLevel="0" collapsed="false">
      <c r="A28" s="10" t="s">
        <v>329</v>
      </c>
      <c r="B28" s="5" t="s">
        <v>333</v>
      </c>
      <c r="C28" s="5"/>
    </row>
    <row r="29" customFormat="false" ht="15" hidden="false" customHeight="false" outlineLevel="0" collapsed="false">
      <c r="A29" s="10" t="s">
        <v>329</v>
      </c>
      <c r="B29" s="5" t="s">
        <v>334</v>
      </c>
      <c r="C29" s="5"/>
    </row>
    <row r="30" customFormat="false" ht="15" hidden="false" customHeight="false" outlineLevel="0" collapsed="false">
      <c r="A30" s="10" t="s">
        <v>329</v>
      </c>
      <c r="B30" s="5" t="s">
        <v>335</v>
      </c>
      <c r="C30" s="5"/>
    </row>
    <row r="31" customFormat="false" ht="15" hidden="false" customHeight="false" outlineLevel="0" collapsed="false">
      <c r="A31" s="10" t="s">
        <v>329</v>
      </c>
      <c r="B31" s="5" t="s">
        <v>336</v>
      </c>
      <c r="C31" s="5"/>
    </row>
    <row r="32" customFormat="false" ht="15" hidden="false" customHeight="false" outlineLevel="0" collapsed="false">
      <c r="A32" s="10" t="s">
        <v>329</v>
      </c>
      <c r="B32" s="5" t="s">
        <v>337</v>
      </c>
      <c r="C32" s="5" t="s">
        <v>338</v>
      </c>
    </row>
    <row r="33" customFormat="false" ht="15" hidden="false" customHeight="false" outlineLevel="0" collapsed="false">
      <c r="A33" s="10" t="s">
        <v>329</v>
      </c>
      <c r="B33" s="5" t="s">
        <v>8</v>
      </c>
      <c r="C33" s="5"/>
    </row>
    <row r="34" customFormat="false" ht="15" hidden="false" customHeight="false" outlineLevel="0" collapsed="false">
      <c r="A34" s="10" t="s">
        <v>329</v>
      </c>
      <c r="B34" s="5" t="s">
        <v>339</v>
      </c>
      <c r="C34" s="5"/>
    </row>
    <row r="35" customFormat="false" ht="15" hidden="false" customHeight="false" outlineLevel="0" collapsed="false">
      <c r="A35" s="10" t="s">
        <v>329</v>
      </c>
      <c r="B35" s="5" t="s">
        <v>340</v>
      </c>
      <c r="C35" s="5"/>
    </row>
    <row r="36" customFormat="false" ht="15" hidden="false" customHeight="false" outlineLevel="0" collapsed="false">
      <c r="A36" s="10" t="s">
        <v>329</v>
      </c>
      <c r="B36" s="5" t="s">
        <v>341</v>
      </c>
      <c r="C36" s="5"/>
    </row>
    <row r="37" customFormat="false" ht="15" hidden="false" customHeight="false" outlineLevel="0" collapsed="false">
      <c r="A37" s="10" t="s">
        <v>329</v>
      </c>
      <c r="B37" s="5" t="s">
        <v>342</v>
      </c>
      <c r="C37" s="5"/>
    </row>
    <row r="38" customFormat="false" ht="15" hidden="false" customHeight="false" outlineLevel="0" collapsed="false">
      <c r="A38" s="10" t="s">
        <v>343</v>
      </c>
      <c r="B38" s="5" t="s">
        <v>344</v>
      </c>
      <c r="C38" s="5"/>
    </row>
    <row r="39" customFormat="false" ht="15" hidden="false" customHeight="false" outlineLevel="0" collapsed="false">
      <c r="A39" s="10" t="s">
        <v>343</v>
      </c>
      <c r="B39" s="5" t="s">
        <v>10</v>
      </c>
      <c r="C39" s="5"/>
    </row>
    <row r="40" customFormat="false" ht="15" hidden="false" customHeight="false" outlineLevel="0" collapsed="false">
      <c r="A40" s="10" t="s">
        <v>343</v>
      </c>
      <c r="B40" s="5" t="s">
        <v>345</v>
      </c>
      <c r="C40" s="5"/>
    </row>
    <row r="41" customFormat="false" ht="15" hidden="false" customHeight="false" outlineLevel="0" collapsed="false">
      <c r="A41" s="10" t="s">
        <v>343</v>
      </c>
      <c r="B41" s="5" t="s">
        <v>36</v>
      </c>
      <c r="C41" s="5"/>
    </row>
    <row r="42" customFormat="false" ht="15" hidden="false" customHeight="false" outlineLevel="0" collapsed="false">
      <c r="A42" s="10" t="s">
        <v>343</v>
      </c>
      <c r="B42" s="5" t="s">
        <v>346</v>
      </c>
      <c r="C42" s="5"/>
    </row>
    <row r="43" customFormat="false" ht="15" hidden="false" customHeight="false" outlineLevel="0" collapsed="false">
      <c r="A43" s="10" t="s">
        <v>347</v>
      </c>
      <c r="B43" s="5" t="s">
        <v>348</v>
      </c>
      <c r="C43" s="5"/>
    </row>
    <row r="44" customFormat="false" ht="15" hidden="false" customHeight="false" outlineLevel="0" collapsed="false">
      <c r="A44" s="10" t="s">
        <v>349</v>
      </c>
      <c r="B44" s="5" t="s">
        <v>350</v>
      </c>
      <c r="C44" s="5" t="s">
        <v>351</v>
      </c>
    </row>
    <row r="45" customFormat="false" ht="15" hidden="false" customHeight="false" outlineLevel="0" collapsed="false">
      <c r="A45" s="10" t="s">
        <v>349</v>
      </c>
      <c r="B45" s="5" t="s">
        <v>352</v>
      </c>
      <c r="C45" s="5" t="s">
        <v>353</v>
      </c>
    </row>
    <row r="46" customFormat="false" ht="15" hidden="false" customHeight="false" outlineLevel="0" collapsed="false">
      <c r="A46" s="10" t="s">
        <v>349</v>
      </c>
      <c r="B46" s="5" t="s">
        <v>354</v>
      </c>
      <c r="C46" s="5"/>
    </row>
    <row r="47" customFormat="false" ht="15" hidden="false" customHeight="false" outlineLevel="0" collapsed="false">
      <c r="A47" s="10" t="s">
        <v>349</v>
      </c>
      <c r="B47" s="5" t="s">
        <v>355</v>
      </c>
      <c r="C47" s="5"/>
    </row>
    <row r="48" customFormat="false" ht="15" hidden="false" customHeight="false" outlineLevel="0" collapsed="false">
      <c r="A48" s="10" t="s">
        <v>356</v>
      </c>
      <c r="B48" s="5" t="s">
        <v>357</v>
      </c>
      <c r="C48" s="5" t="s">
        <v>358</v>
      </c>
    </row>
  </sheetData>
  <autoFilter ref="A1:C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9" t="s">
        <v>359</v>
      </c>
      <c r="B1" s="9" t="s">
        <v>360</v>
      </c>
      <c r="C1" s="9" t="s">
        <v>361</v>
      </c>
      <c r="D1" s="9" t="s">
        <v>43</v>
      </c>
    </row>
    <row r="2" customFormat="false" ht="15" hidden="false" customHeight="false" outlineLevel="0" collapsed="false">
      <c r="A2" s="10" t="s">
        <v>362</v>
      </c>
      <c r="B2" s="5" t="n">
        <v>1</v>
      </c>
      <c r="C2" s="5" t="s">
        <v>363</v>
      </c>
      <c r="D2" s="5" t="s">
        <v>364</v>
      </c>
    </row>
    <row r="3" customFormat="false" ht="35.05" hidden="false" customHeight="false" outlineLevel="0" collapsed="false">
      <c r="A3" s="10" t="s">
        <v>362</v>
      </c>
      <c r="B3" s="5" t="n">
        <v>2</v>
      </c>
      <c r="C3" s="5" t="s">
        <v>365</v>
      </c>
      <c r="D3" s="5" t="s">
        <v>366</v>
      </c>
    </row>
    <row r="4" customFormat="false" ht="15" hidden="false" customHeight="false" outlineLevel="0" collapsed="false">
      <c r="A4" s="10" t="s">
        <v>362</v>
      </c>
      <c r="B4" s="5" t="n">
        <v>3</v>
      </c>
      <c r="C4" s="5" t="s">
        <v>217</v>
      </c>
      <c r="D4" s="5" t="s">
        <v>367</v>
      </c>
    </row>
    <row r="5" customFormat="false" ht="15" hidden="false" customHeight="false" outlineLevel="0" collapsed="false">
      <c r="A5" s="10" t="s">
        <v>362</v>
      </c>
      <c r="B5" s="5" t="n">
        <v>4</v>
      </c>
      <c r="C5" s="5" t="s">
        <v>368</v>
      </c>
      <c r="D5" s="5" t="s">
        <v>369</v>
      </c>
    </row>
    <row r="6" customFormat="false" ht="23.85" hidden="false" customHeight="false" outlineLevel="0" collapsed="false">
      <c r="A6" s="10" t="s">
        <v>362</v>
      </c>
      <c r="B6" s="5" t="n">
        <v>5</v>
      </c>
      <c r="C6" s="5" t="s">
        <v>370</v>
      </c>
      <c r="D6" s="5" t="s">
        <v>371</v>
      </c>
    </row>
    <row r="7" customFormat="false" ht="23.85" hidden="false" customHeight="false" outlineLevel="0" collapsed="false">
      <c r="A7" s="10" t="s">
        <v>362</v>
      </c>
      <c r="B7" s="5" t="n">
        <v>6</v>
      </c>
      <c r="C7" s="5" t="s">
        <v>372</v>
      </c>
      <c r="D7" s="5" t="s">
        <v>373</v>
      </c>
    </row>
    <row r="8" customFormat="false" ht="15" hidden="false" customHeight="false" outlineLevel="0" collapsed="false">
      <c r="A8" s="10" t="s">
        <v>362</v>
      </c>
      <c r="B8" s="5" t="n">
        <v>7</v>
      </c>
      <c r="C8" s="5" t="s">
        <v>239</v>
      </c>
      <c r="D8" s="5" t="s">
        <v>374</v>
      </c>
    </row>
    <row r="9" customFormat="false" ht="15" hidden="false" customHeight="false" outlineLevel="0" collapsed="false">
      <c r="A9" s="10" t="s">
        <v>362</v>
      </c>
      <c r="B9" s="5" t="n">
        <v>8</v>
      </c>
      <c r="C9" s="5" t="s">
        <v>375</v>
      </c>
      <c r="D9" s="5" t="s">
        <v>376</v>
      </c>
    </row>
    <row r="10" customFormat="false" ht="15" hidden="false" customHeight="false" outlineLevel="0" collapsed="false">
      <c r="A10" s="10" t="s">
        <v>362</v>
      </c>
      <c r="B10" s="5" t="n">
        <v>9</v>
      </c>
      <c r="C10" s="5" t="s">
        <v>377</v>
      </c>
      <c r="D10" s="5" t="s">
        <v>378</v>
      </c>
    </row>
    <row r="11" customFormat="false" ht="15" hidden="false" customHeight="false" outlineLevel="0" collapsed="false">
      <c r="A11" s="10" t="s">
        <v>362</v>
      </c>
      <c r="B11" s="5" t="n">
        <v>10</v>
      </c>
      <c r="C11" s="5" t="s">
        <v>179</v>
      </c>
      <c r="D11" s="5" t="s">
        <v>379</v>
      </c>
    </row>
    <row r="12" customFormat="false" ht="15" hidden="false" customHeight="false" outlineLevel="0" collapsed="false">
      <c r="A12" s="10" t="s">
        <v>380</v>
      </c>
      <c r="B12" s="5" t="n">
        <v>1</v>
      </c>
      <c r="C12" s="5" t="s">
        <v>381</v>
      </c>
      <c r="D12" s="5" t="s">
        <v>382</v>
      </c>
    </row>
    <row r="13" customFormat="false" ht="15" hidden="false" customHeight="false" outlineLevel="0" collapsed="false">
      <c r="A13" s="10" t="s">
        <v>380</v>
      </c>
      <c r="B13" s="5" t="n">
        <v>2</v>
      </c>
      <c r="C13" s="5" t="s">
        <v>383</v>
      </c>
      <c r="D13" s="5" t="s">
        <v>384</v>
      </c>
    </row>
    <row r="14" customFormat="false" ht="15" hidden="false" customHeight="false" outlineLevel="0" collapsed="false">
      <c r="A14" s="10" t="s">
        <v>380</v>
      </c>
      <c r="B14" s="5" t="n">
        <v>3</v>
      </c>
      <c r="C14" s="5" t="s">
        <v>385</v>
      </c>
      <c r="D14" s="5" t="s">
        <v>386</v>
      </c>
    </row>
    <row r="15" customFormat="false" ht="15" hidden="false" customHeight="false" outlineLevel="0" collapsed="false">
      <c r="A15" s="10" t="s">
        <v>380</v>
      </c>
      <c r="B15" s="5" t="n">
        <v>4</v>
      </c>
      <c r="C15" s="5" t="s">
        <v>387</v>
      </c>
      <c r="D15" s="5" t="s">
        <v>388</v>
      </c>
    </row>
    <row r="16" customFormat="false" ht="15" hidden="false" customHeight="false" outlineLevel="0" collapsed="false">
      <c r="A16" s="10" t="s">
        <v>380</v>
      </c>
      <c r="B16" s="5" t="n">
        <v>5</v>
      </c>
      <c r="C16" s="5" t="s">
        <v>389</v>
      </c>
      <c r="D16" s="5" t="s">
        <v>390</v>
      </c>
    </row>
    <row r="17" customFormat="false" ht="15" hidden="false" customHeight="false" outlineLevel="0" collapsed="false">
      <c r="A17" s="10" t="s">
        <v>391</v>
      </c>
      <c r="B17" s="5" t="n">
        <v>1</v>
      </c>
      <c r="C17" s="5" t="s">
        <v>392</v>
      </c>
      <c r="D17" s="5" t="s">
        <v>393</v>
      </c>
    </row>
    <row r="18" customFormat="false" ht="15" hidden="false" customHeight="false" outlineLevel="0" collapsed="false">
      <c r="A18" s="10" t="s">
        <v>391</v>
      </c>
      <c r="B18" s="5" t="n">
        <v>2</v>
      </c>
      <c r="C18" s="5" t="s">
        <v>179</v>
      </c>
      <c r="D18" s="5" t="s">
        <v>394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9" t="s">
        <v>395</v>
      </c>
      <c r="B1" s="9" t="s">
        <v>110</v>
      </c>
      <c r="C1" s="9" t="s">
        <v>396</v>
      </c>
      <c r="D1" s="9" t="s">
        <v>397</v>
      </c>
      <c r="E1" s="9" t="s">
        <v>44</v>
      </c>
    </row>
    <row r="2" customFormat="false" ht="23.85" hidden="false" customHeight="false" outlineLevel="0" collapsed="false">
      <c r="A2" s="10" t="s">
        <v>398</v>
      </c>
      <c r="B2" s="5" t="s">
        <v>399</v>
      </c>
      <c r="C2" s="5" t="s">
        <v>400</v>
      </c>
      <c r="D2" s="5"/>
      <c r="E2" s="5" t="s">
        <v>48</v>
      </c>
    </row>
    <row r="3" customFormat="false" ht="23.85" hidden="false" customHeight="false" outlineLevel="0" collapsed="false">
      <c r="A3" s="10" t="s">
        <v>398</v>
      </c>
      <c r="B3" s="5" t="s">
        <v>401</v>
      </c>
      <c r="C3" s="5" t="s">
        <v>402</v>
      </c>
      <c r="D3" s="5" t="s">
        <v>403</v>
      </c>
      <c r="E3" s="5" t="s">
        <v>48</v>
      </c>
    </row>
    <row r="4" customFormat="false" ht="23.85" hidden="false" customHeight="false" outlineLevel="0" collapsed="false">
      <c r="A4" s="10" t="s">
        <v>398</v>
      </c>
      <c r="B4" s="5" t="s">
        <v>404</v>
      </c>
      <c r="C4" s="5" t="s">
        <v>405</v>
      </c>
      <c r="D4" s="5"/>
      <c r="E4" s="5" t="s">
        <v>48</v>
      </c>
    </row>
    <row r="5" customFormat="false" ht="23.85" hidden="false" customHeight="false" outlineLevel="0" collapsed="false">
      <c r="A5" s="10" t="s">
        <v>398</v>
      </c>
      <c r="B5" s="5" t="s">
        <v>406</v>
      </c>
      <c r="C5" s="5" t="s">
        <v>407</v>
      </c>
      <c r="D5" s="5" t="s">
        <v>408</v>
      </c>
      <c r="E5" s="5" t="s">
        <v>48</v>
      </c>
    </row>
    <row r="6" customFormat="false" ht="23.85" hidden="false" customHeight="false" outlineLevel="0" collapsed="false">
      <c r="A6" s="10" t="s">
        <v>398</v>
      </c>
      <c r="B6" s="5" t="s">
        <v>409</v>
      </c>
      <c r="C6" s="5" t="s">
        <v>410</v>
      </c>
      <c r="D6" s="5" t="s">
        <v>411</v>
      </c>
      <c r="E6" s="5" t="s">
        <v>48</v>
      </c>
    </row>
    <row r="7" customFormat="false" ht="15" hidden="false" customHeight="false" outlineLevel="0" collapsed="false">
      <c r="A7" s="10" t="s">
        <v>217</v>
      </c>
      <c r="B7" s="5" t="s">
        <v>399</v>
      </c>
      <c r="C7" s="5" t="s">
        <v>400</v>
      </c>
      <c r="D7" s="5" t="s">
        <v>412</v>
      </c>
      <c r="E7" s="5" t="s">
        <v>48</v>
      </c>
    </row>
    <row r="8" customFormat="false" ht="15" hidden="false" customHeight="false" outlineLevel="0" collapsed="false">
      <c r="A8" s="10" t="s">
        <v>217</v>
      </c>
      <c r="B8" s="5" t="s">
        <v>401</v>
      </c>
      <c r="C8" s="5" t="s">
        <v>413</v>
      </c>
      <c r="D8" s="5" t="s">
        <v>414</v>
      </c>
      <c r="E8" s="5" t="s">
        <v>48</v>
      </c>
    </row>
    <row r="9" customFormat="false" ht="23.85" hidden="false" customHeight="false" outlineLevel="0" collapsed="false">
      <c r="A9" s="10" t="s">
        <v>217</v>
      </c>
      <c r="B9" s="5" t="s">
        <v>404</v>
      </c>
      <c r="C9" s="5" t="s">
        <v>415</v>
      </c>
      <c r="D9" s="5" t="s">
        <v>416</v>
      </c>
      <c r="E9" s="5" t="s">
        <v>417</v>
      </c>
    </row>
    <row r="10" customFormat="false" ht="23.85" hidden="false" customHeight="false" outlineLevel="0" collapsed="false">
      <c r="A10" s="10" t="s">
        <v>217</v>
      </c>
      <c r="B10" s="5" t="s">
        <v>406</v>
      </c>
      <c r="C10" s="5" t="s">
        <v>418</v>
      </c>
      <c r="D10" s="5" t="s">
        <v>419</v>
      </c>
      <c r="E10" s="5" t="s">
        <v>48</v>
      </c>
    </row>
    <row r="11" customFormat="false" ht="23.85" hidden="false" customHeight="false" outlineLevel="0" collapsed="false">
      <c r="A11" s="10" t="s">
        <v>217</v>
      </c>
      <c r="B11" s="5" t="s">
        <v>409</v>
      </c>
      <c r="C11" s="5" t="s">
        <v>420</v>
      </c>
      <c r="D11" s="5" t="s">
        <v>421</v>
      </c>
      <c r="E11" s="5" t="s">
        <v>48</v>
      </c>
    </row>
    <row r="12" customFormat="false" ht="15" hidden="false" customHeight="false" outlineLevel="0" collapsed="false">
      <c r="A12" s="10" t="s">
        <v>217</v>
      </c>
      <c r="B12" s="5" t="s">
        <v>422</v>
      </c>
      <c r="C12" s="5" t="s">
        <v>423</v>
      </c>
      <c r="D12" s="5" t="s">
        <v>239</v>
      </c>
      <c r="E12" s="5" t="s">
        <v>48</v>
      </c>
    </row>
    <row r="13" customFormat="false" ht="15" hidden="false" customHeight="false" outlineLevel="0" collapsed="false">
      <c r="A13" s="10" t="s">
        <v>217</v>
      </c>
      <c r="B13" s="5" t="s">
        <v>424</v>
      </c>
      <c r="C13" s="5" t="s">
        <v>407</v>
      </c>
      <c r="D13" s="5" t="s">
        <v>425</v>
      </c>
      <c r="E13" s="5" t="s">
        <v>48</v>
      </c>
    </row>
    <row r="14" customFormat="false" ht="15" hidden="false" customHeight="false" outlineLevel="0" collapsed="false">
      <c r="A14" s="10" t="s">
        <v>217</v>
      </c>
      <c r="B14" s="5" t="s">
        <v>426</v>
      </c>
      <c r="C14" s="5" t="s">
        <v>405</v>
      </c>
      <c r="D14" s="5" t="s">
        <v>427</v>
      </c>
      <c r="E14" s="5" t="s">
        <v>48</v>
      </c>
    </row>
    <row r="15" customFormat="false" ht="15" hidden="false" customHeight="false" outlineLevel="0" collapsed="false">
      <c r="A15" s="10" t="s">
        <v>319</v>
      </c>
      <c r="B15" s="5" t="s">
        <v>399</v>
      </c>
      <c r="C15" s="5" t="s">
        <v>428</v>
      </c>
      <c r="D15" s="5"/>
      <c r="E15" s="5" t="s">
        <v>48</v>
      </c>
    </row>
    <row r="16" customFormat="false" ht="15" hidden="false" customHeight="false" outlineLevel="0" collapsed="false">
      <c r="A16" s="10" t="s">
        <v>319</v>
      </c>
      <c r="B16" s="5" t="s">
        <v>401</v>
      </c>
      <c r="C16" s="5" t="s">
        <v>429</v>
      </c>
      <c r="D16" s="5" t="s">
        <v>430</v>
      </c>
      <c r="E16" s="5" t="s">
        <v>48</v>
      </c>
    </row>
    <row r="17" customFormat="false" ht="15" hidden="false" customHeight="false" outlineLevel="0" collapsed="false">
      <c r="A17" s="10" t="s">
        <v>319</v>
      </c>
      <c r="B17" s="5" t="s">
        <v>404</v>
      </c>
      <c r="C17" s="5" t="s">
        <v>431</v>
      </c>
      <c r="D17" s="5" t="s">
        <v>432</v>
      </c>
      <c r="E17" s="5" t="s">
        <v>48</v>
      </c>
    </row>
    <row r="18" customFormat="false" ht="15" hidden="false" customHeight="false" outlineLevel="0" collapsed="false">
      <c r="A18" s="10" t="s">
        <v>319</v>
      </c>
      <c r="B18" s="5" t="s">
        <v>406</v>
      </c>
      <c r="C18" s="5" t="s">
        <v>405</v>
      </c>
      <c r="D18" s="5" t="s">
        <v>427</v>
      </c>
      <c r="E18" s="5" t="s">
        <v>417</v>
      </c>
    </row>
    <row r="19" customFormat="false" ht="15" hidden="false" customHeight="false" outlineLevel="0" collapsed="false">
      <c r="A19" s="10" t="s">
        <v>433</v>
      </c>
      <c r="B19" s="5" t="s">
        <v>399</v>
      </c>
      <c r="C19" s="5" t="s">
        <v>400</v>
      </c>
      <c r="D19" s="5" t="s">
        <v>434</v>
      </c>
      <c r="E19" s="5" t="s">
        <v>48</v>
      </c>
    </row>
    <row r="20" customFormat="false" ht="15" hidden="false" customHeight="false" outlineLevel="0" collapsed="false">
      <c r="A20" s="10" t="s">
        <v>433</v>
      </c>
      <c r="B20" s="5" t="s">
        <v>401</v>
      </c>
      <c r="C20" s="5" t="s">
        <v>402</v>
      </c>
      <c r="D20" s="5" t="s">
        <v>435</v>
      </c>
      <c r="E20" s="5" t="s">
        <v>48</v>
      </c>
    </row>
    <row r="21" customFormat="false" ht="15" hidden="false" customHeight="false" outlineLevel="0" collapsed="false">
      <c r="A21" s="10" t="s">
        <v>433</v>
      </c>
      <c r="B21" s="5" t="s">
        <v>404</v>
      </c>
      <c r="C21" s="5" t="s">
        <v>405</v>
      </c>
      <c r="D21" s="5" t="s">
        <v>436</v>
      </c>
      <c r="E21" s="5" t="s">
        <v>48</v>
      </c>
    </row>
    <row r="22" customFormat="false" ht="15" hidden="false" customHeight="false" outlineLevel="0" collapsed="false">
      <c r="A22" s="10" t="s">
        <v>437</v>
      </c>
      <c r="B22" s="5"/>
      <c r="C22" s="5" t="s">
        <v>438</v>
      </c>
      <c r="D22" s="5" t="s">
        <v>439</v>
      </c>
      <c r="E22" s="5" t="s">
        <v>48</v>
      </c>
    </row>
    <row r="23" customFormat="false" ht="15" hidden="false" customHeight="false" outlineLevel="0" collapsed="false">
      <c r="A23" s="10" t="s">
        <v>437</v>
      </c>
      <c r="B23" s="5"/>
      <c r="C23" s="5" t="s">
        <v>440</v>
      </c>
      <c r="D23" s="5"/>
      <c r="E23" s="5" t="s">
        <v>48</v>
      </c>
    </row>
    <row r="24" customFormat="false" ht="15" hidden="false" customHeight="false" outlineLevel="0" collapsed="false">
      <c r="A24" s="10" t="s">
        <v>437</v>
      </c>
      <c r="B24" s="5"/>
      <c r="C24" s="5" t="s">
        <v>441</v>
      </c>
      <c r="D24" s="5" t="s">
        <v>442</v>
      </c>
      <c r="E24" s="5" t="s">
        <v>48</v>
      </c>
    </row>
    <row r="25" customFormat="false" ht="57.45" hidden="false" customHeight="false" outlineLevel="0" collapsed="false">
      <c r="A25" s="10" t="s">
        <v>443</v>
      </c>
      <c r="B25" s="5"/>
      <c r="C25" s="5" t="s">
        <v>444</v>
      </c>
      <c r="D25" s="5"/>
      <c r="E25" s="5" t="s">
        <v>48</v>
      </c>
    </row>
    <row r="26" customFormat="false" ht="15" hidden="false" customHeight="false" outlineLevel="0" collapsed="false">
      <c r="A26" s="10" t="s">
        <v>445</v>
      </c>
      <c r="B26" s="5"/>
      <c r="C26" s="5" t="s">
        <v>446</v>
      </c>
      <c r="D26" s="5" t="s">
        <v>447</v>
      </c>
      <c r="E26" s="5" t="s">
        <v>48</v>
      </c>
    </row>
  </sheetData>
  <autoFilter ref="A1:E26"/>
  <conditionalFormatting sqref="E2:E26">
    <cfRule type="expression" priority="2" aboveAverage="0" equalAverage="0" bottom="0" percent="0" rank="0" text="" dxfId="5">
      <formula>OR(ISNUMBER(SEARCH("unsure",$E2)),ISNUMBER(SEARCH("unknown",$E2)),ISNUMBER(SEARCH("inferred",$E2)))</formula>
    </cfRule>
    <cfRule type="expression" priority="3" aboveAverage="0" equalAverage="0" bottom="0" percent="0" rank="0" text="" dxfId="6">
      <formula>OR(ISNUMBER(SEARCH("decided",$E2)),ISNUMBER(SEARCH("not started",$E2)),ISNUMBER(SEARCH("partly",$E2)),ISNUMBER(SEARCH("convention",$E2)))</formula>
    </cfRule>
    <cfRule type="expression" priority="4" aboveAverage="0" equalAverage="0" bottom="0" percent="0" rank="0" text="" dxfId="7">
      <formula>OR(ISNUMBER(SEARCH("implemented",$E2)),ISNUMBER(SEARCH("done",$E2)),ISNUMBER(SEARCH("sure",$E2)))</formula>
    </cfRule>
    <cfRule type="expression" priority="5" aboveAverage="0" equalAverage="0" bottom="0" percent="0" rank="0" text="" dxfId="8">
      <formula>OR(ISNUMBER(SEARCH("replaced",$E2)))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9" t="s">
        <v>110</v>
      </c>
      <c r="B1" s="9" t="s">
        <v>243</v>
      </c>
      <c r="C1" s="9" t="s">
        <v>246</v>
      </c>
      <c r="D1" s="9" t="s">
        <v>448</v>
      </c>
    </row>
    <row r="2" customFormat="false" ht="15" hidden="false" customHeight="false" outlineLevel="0" collapsed="false">
      <c r="A2" s="10" t="s">
        <v>449</v>
      </c>
      <c r="B2" s="5" t="s">
        <v>450</v>
      </c>
      <c r="C2" s="5" t="s">
        <v>451</v>
      </c>
      <c r="D2" s="5" t="s">
        <v>452</v>
      </c>
    </row>
    <row r="3" customFormat="false" ht="15" hidden="false" customHeight="false" outlineLevel="0" collapsed="false">
      <c r="A3" s="10" t="s">
        <v>453</v>
      </c>
      <c r="B3" s="5" t="s">
        <v>454</v>
      </c>
      <c r="C3" s="5" t="s">
        <v>118</v>
      </c>
      <c r="D3" s="5" t="s">
        <v>455</v>
      </c>
    </row>
    <row r="4" customFormat="false" ht="15" hidden="false" customHeight="false" outlineLevel="0" collapsed="false">
      <c r="A4" s="10" t="s">
        <v>456</v>
      </c>
      <c r="B4" s="5" t="s">
        <v>264</v>
      </c>
      <c r="C4" s="5" t="s">
        <v>457</v>
      </c>
      <c r="D4" s="5" t="s">
        <v>458</v>
      </c>
    </row>
    <row r="5" customFormat="false" ht="15" hidden="false" customHeight="false" outlineLevel="0" collapsed="false">
      <c r="A5" s="10" t="s">
        <v>459</v>
      </c>
      <c r="B5" s="5" t="s">
        <v>460</v>
      </c>
      <c r="C5" s="5" t="s">
        <v>461</v>
      </c>
      <c r="D5" s="5" t="s">
        <v>462</v>
      </c>
    </row>
    <row r="6" customFormat="false" ht="15" hidden="false" customHeight="false" outlineLevel="0" collapsed="false">
      <c r="A6" s="10" t="s">
        <v>463</v>
      </c>
      <c r="B6" s="5" t="s">
        <v>464</v>
      </c>
      <c r="C6" s="5" t="s">
        <v>457</v>
      </c>
      <c r="D6" s="5" t="s">
        <v>465</v>
      </c>
    </row>
    <row r="7" customFormat="false" ht="15" hidden="false" customHeight="false" outlineLevel="0" collapsed="false">
      <c r="A7" s="10" t="s">
        <v>466</v>
      </c>
      <c r="B7" s="5" t="s">
        <v>467</v>
      </c>
      <c r="C7" s="5" t="s">
        <v>138</v>
      </c>
      <c r="D7" s="5" t="s">
        <v>468</v>
      </c>
    </row>
    <row r="8" customFormat="false" ht="15" hidden="false" customHeight="false" outlineLevel="0" collapsed="false">
      <c r="A8" s="10" t="s">
        <v>469</v>
      </c>
      <c r="B8" s="5" t="s">
        <v>470</v>
      </c>
      <c r="C8" s="5" t="s">
        <v>471</v>
      </c>
      <c r="D8" s="5" t="s">
        <v>472</v>
      </c>
    </row>
    <row r="9" customFormat="false" ht="15" hidden="false" customHeight="false" outlineLevel="0" collapsed="false">
      <c r="A9" s="10" t="s">
        <v>473</v>
      </c>
      <c r="B9" s="5" t="s">
        <v>144</v>
      </c>
      <c r="C9" s="5" t="s">
        <v>474</v>
      </c>
      <c r="D9" s="5" t="s">
        <v>475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9" t="s">
        <v>298</v>
      </c>
      <c r="B1" s="9" t="s">
        <v>476</v>
      </c>
      <c r="C1" s="9" t="s">
        <v>396</v>
      </c>
      <c r="D1" s="9" t="s">
        <v>477</v>
      </c>
    </row>
    <row r="2" customFormat="false" ht="23.85" hidden="false" customHeight="false" outlineLevel="0" collapsed="false">
      <c r="A2" s="10" t="s">
        <v>478</v>
      </c>
      <c r="B2" s="5" t="s">
        <v>479</v>
      </c>
      <c r="C2" s="5" t="s">
        <v>480</v>
      </c>
      <c r="D2" s="5"/>
    </row>
    <row r="3" customFormat="false" ht="23.85" hidden="false" customHeight="false" outlineLevel="0" collapsed="false">
      <c r="A3" s="10" t="s">
        <v>478</v>
      </c>
      <c r="B3" s="5" t="s">
        <v>481</v>
      </c>
      <c r="C3" s="5" t="s">
        <v>480</v>
      </c>
      <c r="D3" s="5" t="s">
        <v>482</v>
      </c>
    </row>
    <row r="4" customFormat="false" ht="23.85" hidden="false" customHeight="false" outlineLevel="0" collapsed="false">
      <c r="A4" s="10" t="s">
        <v>478</v>
      </c>
      <c r="B4" s="5" t="s">
        <v>483</v>
      </c>
      <c r="C4" s="5" t="s">
        <v>480</v>
      </c>
      <c r="D4" s="5"/>
    </row>
    <row r="5" customFormat="false" ht="15" hidden="false" customHeight="false" outlineLevel="0" collapsed="false">
      <c r="A5" s="10" t="s">
        <v>478</v>
      </c>
      <c r="B5" s="5" t="s">
        <v>484</v>
      </c>
      <c r="C5" s="5" t="s">
        <v>480</v>
      </c>
      <c r="D5" s="5"/>
    </row>
    <row r="6" customFormat="false" ht="23.85" hidden="false" customHeight="false" outlineLevel="0" collapsed="false">
      <c r="A6" s="10" t="s">
        <v>478</v>
      </c>
      <c r="B6" s="5" t="s">
        <v>485</v>
      </c>
      <c r="C6" s="5" t="s">
        <v>486</v>
      </c>
      <c r="D6" s="5"/>
    </row>
    <row r="7" customFormat="false" ht="15" hidden="false" customHeight="false" outlineLevel="0" collapsed="false">
      <c r="A7" s="10" t="s">
        <v>310</v>
      </c>
      <c r="B7" s="5" t="s">
        <v>487</v>
      </c>
      <c r="C7" s="5" t="s">
        <v>480</v>
      </c>
      <c r="D7" s="5"/>
    </row>
    <row r="8" customFormat="false" ht="15" hidden="false" customHeight="false" outlineLevel="0" collapsed="false">
      <c r="A8" s="10" t="s">
        <v>310</v>
      </c>
      <c r="B8" s="5" t="s">
        <v>488</v>
      </c>
      <c r="C8" s="5" t="s">
        <v>480</v>
      </c>
      <c r="D8" s="5"/>
    </row>
    <row r="9" customFormat="false" ht="23.85" hidden="false" customHeight="false" outlineLevel="0" collapsed="false">
      <c r="A9" s="10" t="s">
        <v>310</v>
      </c>
      <c r="B9" s="5" t="s">
        <v>489</v>
      </c>
      <c r="C9" s="5" t="s">
        <v>480</v>
      </c>
      <c r="D9" s="5" t="s">
        <v>490</v>
      </c>
    </row>
    <row r="10" customFormat="false" ht="15" hidden="false" customHeight="false" outlineLevel="0" collapsed="false">
      <c r="A10" s="10" t="s">
        <v>310</v>
      </c>
      <c r="B10" s="5" t="s">
        <v>491</v>
      </c>
      <c r="C10" s="5" t="s">
        <v>480</v>
      </c>
      <c r="D10" s="5"/>
    </row>
    <row r="11" customFormat="false" ht="15" hidden="false" customHeight="false" outlineLevel="0" collapsed="false">
      <c r="A11" s="10" t="s">
        <v>310</v>
      </c>
      <c r="B11" s="5" t="s">
        <v>492</v>
      </c>
      <c r="C11" s="5" t="s">
        <v>480</v>
      </c>
      <c r="D11" s="5" t="s">
        <v>493</v>
      </c>
    </row>
    <row r="12" customFormat="false" ht="23.85" hidden="false" customHeight="false" outlineLevel="0" collapsed="false">
      <c r="A12" s="10" t="s">
        <v>310</v>
      </c>
      <c r="B12" s="5" t="s">
        <v>494</v>
      </c>
      <c r="C12" s="5" t="s">
        <v>480</v>
      </c>
      <c r="D12" s="5" t="s">
        <v>495</v>
      </c>
    </row>
    <row r="13" customFormat="false" ht="23.85" hidden="false" customHeight="false" outlineLevel="0" collapsed="false">
      <c r="A13" s="10" t="s">
        <v>310</v>
      </c>
      <c r="B13" s="5" t="s">
        <v>496</v>
      </c>
      <c r="C13" s="5" t="s">
        <v>480</v>
      </c>
      <c r="D13" s="5" t="s">
        <v>495</v>
      </c>
    </row>
    <row r="14" customFormat="false" ht="15" hidden="false" customHeight="false" outlineLevel="0" collapsed="false">
      <c r="A14" s="10" t="s">
        <v>310</v>
      </c>
      <c r="B14" s="5" t="s">
        <v>497</v>
      </c>
      <c r="C14" s="5" t="s">
        <v>480</v>
      </c>
      <c r="D14" s="5" t="s">
        <v>495</v>
      </c>
    </row>
    <row r="15" customFormat="false" ht="23.85" hidden="false" customHeight="false" outlineLevel="0" collapsed="false">
      <c r="A15" s="10" t="s">
        <v>310</v>
      </c>
      <c r="B15" s="5" t="s">
        <v>498</v>
      </c>
      <c r="C15" s="5" t="s">
        <v>499</v>
      </c>
      <c r="D15" s="5"/>
    </row>
    <row r="16" customFormat="false" ht="23.85" hidden="false" customHeight="false" outlineLevel="0" collapsed="false">
      <c r="A16" s="10" t="s">
        <v>310</v>
      </c>
      <c r="B16" s="5" t="s">
        <v>500</v>
      </c>
      <c r="C16" s="5" t="s">
        <v>501</v>
      </c>
      <c r="D16" s="5"/>
    </row>
    <row r="17" customFormat="false" ht="23.85" hidden="false" customHeight="false" outlineLevel="0" collapsed="false">
      <c r="A17" s="10" t="s">
        <v>310</v>
      </c>
      <c r="B17" s="5" t="s">
        <v>502</v>
      </c>
      <c r="C17" s="5" t="s">
        <v>503</v>
      </c>
      <c r="D17" s="5"/>
    </row>
    <row r="18" customFormat="false" ht="15" hidden="false" customHeight="false" outlineLevel="0" collapsed="false">
      <c r="A18" s="10" t="s">
        <v>310</v>
      </c>
      <c r="B18" s="5" t="s">
        <v>504</v>
      </c>
      <c r="C18" s="5" t="s">
        <v>480</v>
      </c>
      <c r="D18" s="5" t="s">
        <v>505</v>
      </c>
    </row>
    <row r="19" customFormat="false" ht="15" hidden="false" customHeight="false" outlineLevel="0" collapsed="false">
      <c r="A19" s="10" t="s">
        <v>310</v>
      </c>
      <c r="B19" s="5" t="s">
        <v>506</v>
      </c>
      <c r="C19" s="5" t="s">
        <v>480</v>
      </c>
      <c r="D19" s="5" t="s">
        <v>507</v>
      </c>
    </row>
    <row r="20" customFormat="false" ht="15" hidden="false" customHeight="false" outlineLevel="0" collapsed="false">
      <c r="A20" s="10" t="s">
        <v>365</v>
      </c>
      <c r="B20" s="5" t="s">
        <v>508</v>
      </c>
      <c r="C20" s="5" t="s">
        <v>480</v>
      </c>
      <c r="D20" s="5" t="s">
        <v>509</v>
      </c>
    </row>
    <row r="21" customFormat="false" ht="23.85" hidden="false" customHeight="false" outlineLevel="0" collapsed="false">
      <c r="A21" s="10" t="s">
        <v>365</v>
      </c>
      <c r="B21" s="5" t="s">
        <v>510</v>
      </c>
      <c r="C21" s="5" t="s">
        <v>480</v>
      </c>
      <c r="D21" s="5"/>
    </row>
    <row r="22" customFormat="false" ht="15" hidden="false" customHeight="false" outlineLevel="0" collapsed="false">
      <c r="A22" s="10" t="s">
        <v>365</v>
      </c>
      <c r="B22" s="5" t="s">
        <v>511</v>
      </c>
      <c r="C22" s="5" t="s">
        <v>480</v>
      </c>
      <c r="D22" s="5"/>
    </row>
    <row r="23" customFormat="false" ht="23.85" hidden="false" customHeight="false" outlineLevel="0" collapsed="false">
      <c r="A23" s="10" t="s">
        <v>365</v>
      </c>
      <c r="B23" s="5" t="s">
        <v>512</v>
      </c>
      <c r="C23" s="5" t="s">
        <v>480</v>
      </c>
      <c r="D23" s="5"/>
    </row>
    <row r="24" customFormat="false" ht="15" hidden="false" customHeight="false" outlineLevel="0" collapsed="false">
      <c r="A24" s="10" t="s">
        <v>365</v>
      </c>
      <c r="B24" s="5" t="s">
        <v>513</v>
      </c>
      <c r="C24" s="5" t="s">
        <v>480</v>
      </c>
      <c r="D24" s="5"/>
    </row>
    <row r="25" customFormat="false" ht="23.85" hidden="false" customHeight="false" outlineLevel="0" collapsed="false">
      <c r="A25" s="10" t="s">
        <v>365</v>
      </c>
      <c r="B25" s="5" t="s">
        <v>514</v>
      </c>
      <c r="C25" s="5" t="s">
        <v>480</v>
      </c>
      <c r="D25" s="5"/>
    </row>
    <row r="26" customFormat="false" ht="15" hidden="false" customHeight="false" outlineLevel="0" collapsed="false">
      <c r="A26" s="10" t="s">
        <v>365</v>
      </c>
      <c r="B26" s="5" t="s">
        <v>515</v>
      </c>
      <c r="C26" s="5" t="s">
        <v>480</v>
      </c>
      <c r="D26" s="5"/>
    </row>
    <row r="27" customFormat="false" ht="23.85" hidden="false" customHeight="false" outlineLevel="0" collapsed="false">
      <c r="A27" s="10" t="s">
        <v>365</v>
      </c>
      <c r="B27" s="5" t="s">
        <v>516</v>
      </c>
      <c r="C27" s="5" t="s">
        <v>480</v>
      </c>
      <c r="D27" s="5"/>
    </row>
    <row r="28" customFormat="false" ht="15" hidden="false" customHeight="false" outlineLevel="0" collapsed="false">
      <c r="A28" s="10" t="s">
        <v>365</v>
      </c>
      <c r="B28" s="5" t="s">
        <v>517</v>
      </c>
      <c r="C28" s="5" t="s">
        <v>480</v>
      </c>
      <c r="D28" s="5"/>
    </row>
    <row r="29" customFormat="false" ht="23.85" hidden="false" customHeight="false" outlineLevel="0" collapsed="false">
      <c r="A29" s="10" t="s">
        <v>365</v>
      </c>
      <c r="B29" s="5" t="s">
        <v>518</v>
      </c>
      <c r="C29" s="5" t="s">
        <v>519</v>
      </c>
      <c r="D29" s="5"/>
    </row>
    <row r="30" customFormat="false" ht="23.85" hidden="false" customHeight="false" outlineLevel="0" collapsed="false">
      <c r="A30" s="10" t="s">
        <v>352</v>
      </c>
      <c r="B30" s="5" t="s">
        <v>520</v>
      </c>
      <c r="C30" s="5" t="s">
        <v>480</v>
      </c>
      <c r="D30" s="5" t="s">
        <v>521</v>
      </c>
    </row>
    <row r="31" customFormat="false" ht="15" hidden="false" customHeight="false" outlineLevel="0" collapsed="false">
      <c r="A31" s="10" t="s">
        <v>352</v>
      </c>
      <c r="B31" s="5" t="s">
        <v>522</v>
      </c>
      <c r="C31" s="5" t="s">
        <v>480</v>
      </c>
      <c r="D31" s="5"/>
    </row>
    <row r="32" customFormat="false" ht="23.85" hidden="false" customHeight="false" outlineLevel="0" collapsed="false">
      <c r="A32" s="10" t="s">
        <v>352</v>
      </c>
      <c r="B32" s="5" t="s">
        <v>523</v>
      </c>
      <c r="C32" s="5" t="s">
        <v>480</v>
      </c>
      <c r="D32" s="5"/>
    </row>
    <row r="33" customFormat="false" ht="15" hidden="false" customHeight="false" outlineLevel="0" collapsed="false">
      <c r="A33" s="10" t="s">
        <v>352</v>
      </c>
      <c r="B33" s="5" t="s">
        <v>524</v>
      </c>
      <c r="C33" s="5" t="s">
        <v>480</v>
      </c>
      <c r="D33" s="5" t="s">
        <v>525</v>
      </c>
    </row>
    <row r="34" customFormat="false" ht="15" hidden="false" customHeight="false" outlineLevel="0" collapsed="false">
      <c r="A34" s="10" t="s">
        <v>217</v>
      </c>
      <c r="B34" s="5" t="s">
        <v>526</v>
      </c>
      <c r="C34" s="5" t="s">
        <v>480</v>
      </c>
      <c r="D34" s="5"/>
    </row>
    <row r="35" customFormat="false" ht="15" hidden="false" customHeight="false" outlineLevel="0" collapsed="false">
      <c r="A35" s="10" t="s">
        <v>217</v>
      </c>
      <c r="B35" s="5" t="s">
        <v>527</v>
      </c>
      <c r="C35" s="5" t="s">
        <v>480</v>
      </c>
      <c r="D35" s="5"/>
    </row>
    <row r="36" customFormat="false" ht="15" hidden="false" customHeight="false" outlineLevel="0" collapsed="false">
      <c r="A36" s="10" t="s">
        <v>217</v>
      </c>
      <c r="B36" s="5" t="s">
        <v>528</v>
      </c>
      <c r="C36" s="5" t="s">
        <v>480</v>
      </c>
      <c r="D36" s="5"/>
    </row>
    <row r="37" customFormat="false" ht="15" hidden="false" customHeight="false" outlineLevel="0" collapsed="false">
      <c r="A37" s="10" t="s">
        <v>217</v>
      </c>
      <c r="B37" s="5" t="s">
        <v>529</v>
      </c>
      <c r="C37" s="5" t="s">
        <v>480</v>
      </c>
      <c r="D37" s="5"/>
    </row>
    <row r="38" customFormat="false" ht="23.85" hidden="false" customHeight="false" outlineLevel="0" collapsed="false">
      <c r="A38" s="10" t="s">
        <v>217</v>
      </c>
      <c r="B38" s="5" t="s">
        <v>530</v>
      </c>
      <c r="C38" s="5" t="s">
        <v>480</v>
      </c>
      <c r="D38" s="5"/>
    </row>
    <row r="39" customFormat="false" ht="15" hidden="false" customHeight="false" outlineLevel="0" collapsed="false">
      <c r="A39" s="10" t="s">
        <v>217</v>
      </c>
      <c r="B39" s="5" t="s">
        <v>531</v>
      </c>
      <c r="C39" s="5" t="s">
        <v>480</v>
      </c>
      <c r="D39" s="5"/>
    </row>
    <row r="40" customFormat="false" ht="15" hidden="false" customHeight="false" outlineLevel="0" collapsed="false">
      <c r="A40" s="10" t="s">
        <v>217</v>
      </c>
      <c r="B40" s="5" t="s">
        <v>532</v>
      </c>
      <c r="C40" s="5" t="s">
        <v>480</v>
      </c>
      <c r="D40" s="5"/>
    </row>
    <row r="41" customFormat="false" ht="15" hidden="false" customHeight="false" outlineLevel="0" collapsed="false">
      <c r="A41" s="10" t="s">
        <v>217</v>
      </c>
      <c r="B41" s="5" t="s">
        <v>533</v>
      </c>
      <c r="C41" s="5" t="s">
        <v>480</v>
      </c>
      <c r="D41" s="5"/>
    </row>
    <row r="42" customFormat="false" ht="23.85" hidden="false" customHeight="false" outlineLevel="0" collapsed="false">
      <c r="A42" s="10" t="s">
        <v>217</v>
      </c>
      <c r="B42" s="5" t="s">
        <v>534</v>
      </c>
      <c r="C42" s="5" t="s">
        <v>480</v>
      </c>
      <c r="D42" s="5" t="s">
        <v>535</v>
      </c>
    </row>
    <row r="43" customFormat="false" ht="23.85" hidden="false" customHeight="false" outlineLevel="0" collapsed="false">
      <c r="A43" s="10" t="s">
        <v>217</v>
      </c>
      <c r="B43" s="5" t="s">
        <v>536</v>
      </c>
      <c r="C43" s="5" t="s">
        <v>480</v>
      </c>
      <c r="D43" s="5" t="s">
        <v>537</v>
      </c>
    </row>
    <row r="44" customFormat="false" ht="23.85" hidden="false" customHeight="false" outlineLevel="0" collapsed="false">
      <c r="A44" s="10" t="s">
        <v>217</v>
      </c>
      <c r="B44" s="5" t="s">
        <v>538</v>
      </c>
      <c r="C44" s="5" t="s">
        <v>539</v>
      </c>
      <c r="D44" s="5"/>
    </row>
    <row r="45" customFormat="false" ht="15" hidden="false" customHeight="false" outlineLevel="0" collapsed="false">
      <c r="A45" s="10" t="s">
        <v>319</v>
      </c>
      <c r="B45" s="5" t="s">
        <v>540</v>
      </c>
      <c r="C45" s="5" t="s">
        <v>480</v>
      </c>
      <c r="D45" s="5"/>
    </row>
    <row r="46" customFormat="false" ht="23.85" hidden="false" customHeight="false" outlineLevel="0" collapsed="false">
      <c r="A46" s="10" t="s">
        <v>319</v>
      </c>
      <c r="B46" s="5" t="s">
        <v>541</v>
      </c>
      <c r="C46" s="5" t="s">
        <v>480</v>
      </c>
      <c r="D46" s="5" t="s">
        <v>535</v>
      </c>
    </row>
    <row r="47" customFormat="false" ht="23.85" hidden="false" customHeight="false" outlineLevel="0" collapsed="false">
      <c r="A47" s="10" t="s">
        <v>319</v>
      </c>
      <c r="B47" s="5" t="s">
        <v>542</v>
      </c>
      <c r="C47" s="5" t="s">
        <v>480</v>
      </c>
      <c r="D47" s="5" t="s">
        <v>543</v>
      </c>
    </row>
    <row r="48" customFormat="false" ht="23.85" hidden="false" customHeight="false" outlineLevel="0" collapsed="false">
      <c r="A48" s="10" t="s">
        <v>319</v>
      </c>
      <c r="B48" s="5" t="s">
        <v>544</v>
      </c>
      <c r="C48" s="5" t="s">
        <v>545</v>
      </c>
      <c r="D48" s="5" t="s">
        <v>546</v>
      </c>
    </row>
    <row r="49" customFormat="false" ht="23.85" hidden="false" customHeight="false" outlineLevel="0" collapsed="false">
      <c r="A49" s="10" t="s">
        <v>319</v>
      </c>
      <c r="B49" s="5" t="s">
        <v>547</v>
      </c>
      <c r="C49" s="5" t="s">
        <v>545</v>
      </c>
      <c r="D49" s="5"/>
    </row>
    <row r="50" customFormat="false" ht="23.85" hidden="false" customHeight="false" outlineLevel="0" collapsed="false">
      <c r="A50" s="10" t="s">
        <v>319</v>
      </c>
      <c r="B50" s="5" t="s">
        <v>548</v>
      </c>
      <c r="C50" s="5" t="s">
        <v>480</v>
      </c>
      <c r="D50" s="5" t="s">
        <v>549</v>
      </c>
    </row>
    <row r="51" customFormat="false" ht="23.85" hidden="false" customHeight="false" outlineLevel="0" collapsed="false">
      <c r="A51" s="10" t="s">
        <v>319</v>
      </c>
      <c r="B51" s="5" t="s">
        <v>550</v>
      </c>
      <c r="C51" s="5" t="s">
        <v>545</v>
      </c>
      <c r="D51" s="5"/>
    </row>
    <row r="52" customFormat="false" ht="15" hidden="false" customHeight="false" outlineLevel="0" collapsed="false">
      <c r="A52" s="10" t="s">
        <v>194</v>
      </c>
      <c r="B52" s="5" t="s">
        <v>551</v>
      </c>
      <c r="C52" s="5" t="s">
        <v>480</v>
      </c>
      <c r="D52" s="5"/>
    </row>
    <row r="53" customFormat="false" ht="15" hidden="false" customHeight="false" outlineLevel="0" collapsed="false">
      <c r="A53" s="10" t="s">
        <v>194</v>
      </c>
      <c r="B53" s="5" t="s">
        <v>552</v>
      </c>
      <c r="C53" s="5" t="s">
        <v>480</v>
      </c>
      <c r="D53" s="5"/>
    </row>
    <row r="54" customFormat="false" ht="15" hidden="false" customHeight="false" outlineLevel="0" collapsed="false">
      <c r="A54" s="10" t="s">
        <v>194</v>
      </c>
      <c r="B54" s="5" t="s">
        <v>553</v>
      </c>
      <c r="C54" s="5" t="s">
        <v>480</v>
      </c>
      <c r="D54" s="5"/>
    </row>
    <row r="55" customFormat="false" ht="23.85" hidden="false" customHeight="false" outlineLevel="0" collapsed="false">
      <c r="A55" s="10" t="s">
        <v>194</v>
      </c>
      <c r="B55" s="5" t="s">
        <v>554</v>
      </c>
      <c r="C55" s="5" t="s">
        <v>480</v>
      </c>
      <c r="D55" s="5"/>
    </row>
    <row r="56" customFormat="false" ht="15" hidden="false" customHeight="false" outlineLevel="0" collapsed="false">
      <c r="A56" s="10" t="s">
        <v>194</v>
      </c>
      <c r="B56" s="5" t="s">
        <v>555</v>
      </c>
      <c r="C56" s="5" t="s">
        <v>480</v>
      </c>
      <c r="D56" s="5"/>
    </row>
    <row r="57" customFormat="false" ht="15" hidden="false" customHeight="false" outlineLevel="0" collapsed="false">
      <c r="A57" s="10" t="s">
        <v>194</v>
      </c>
      <c r="B57" s="5" t="s">
        <v>556</v>
      </c>
      <c r="C57" s="5" t="s">
        <v>480</v>
      </c>
      <c r="D57" s="5"/>
    </row>
    <row r="58" customFormat="false" ht="15" hidden="false" customHeight="false" outlineLevel="0" collapsed="false">
      <c r="A58" s="10" t="s">
        <v>194</v>
      </c>
      <c r="B58" s="5" t="s">
        <v>557</v>
      </c>
      <c r="C58" s="5" t="s">
        <v>480</v>
      </c>
      <c r="D58" s="5"/>
    </row>
    <row r="59" customFormat="false" ht="15" hidden="false" customHeight="false" outlineLevel="0" collapsed="false">
      <c r="A59" s="10" t="s">
        <v>558</v>
      </c>
      <c r="B59" s="5" t="s">
        <v>559</v>
      </c>
      <c r="C59" s="5" t="s">
        <v>480</v>
      </c>
      <c r="D59" s="5"/>
    </row>
    <row r="60" customFormat="false" ht="23.85" hidden="false" customHeight="false" outlineLevel="0" collapsed="false">
      <c r="A60" s="10" t="s">
        <v>558</v>
      </c>
      <c r="B60" s="5" t="s">
        <v>560</v>
      </c>
      <c r="C60" s="5" t="s">
        <v>561</v>
      </c>
      <c r="D60" s="5" t="s">
        <v>562</v>
      </c>
    </row>
    <row r="61" customFormat="false" ht="15" hidden="false" customHeight="false" outlineLevel="0" collapsed="false">
      <c r="A61" s="10" t="s">
        <v>563</v>
      </c>
      <c r="B61" s="5" t="s">
        <v>564</v>
      </c>
      <c r="C61" s="5" t="s">
        <v>565</v>
      </c>
      <c r="D61" s="5"/>
    </row>
    <row r="62" customFormat="false" ht="15" hidden="false" customHeight="false" outlineLevel="0" collapsed="false">
      <c r="A62" s="10" t="s">
        <v>563</v>
      </c>
      <c r="B62" s="5" t="s">
        <v>566</v>
      </c>
      <c r="C62" s="5" t="s">
        <v>565</v>
      </c>
      <c r="D62" s="5"/>
    </row>
    <row r="63" customFormat="false" ht="15" hidden="false" customHeight="false" outlineLevel="0" collapsed="false">
      <c r="A63" s="10" t="s">
        <v>563</v>
      </c>
      <c r="B63" s="5" t="s">
        <v>567</v>
      </c>
      <c r="C63" s="5" t="s">
        <v>565</v>
      </c>
      <c r="D63" s="5"/>
    </row>
    <row r="64" customFormat="false" ht="15" hidden="false" customHeight="false" outlineLevel="0" collapsed="false">
      <c r="A64" s="10" t="s">
        <v>563</v>
      </c>
      <c r="B64" s="5" t="s">
        <v>568</v>
      </c>
      <c r="C64" s="5" t="s">
        <v>569</v>
      </c>
      <c r="D64" s="5"/>
    </row>
    <row r="65" customFormat="false" ht="15" hidden="false" customHeight="false" outlineLevel="0" collapsed="false">
      <c r="A65" s="10" t="s">
        <v>563</v>
      </c>
      <c r="B65" s="5" t="s">
        <v>570</v>
      </c>
      <c r="C65" s="5" t="s">
        <v>69</v>
      </c>
      <c r="D65" s="5" t="s">
        <v>571</v>
      </c>
    </row>
    <row r="66" customFormat="false" ht="15" hidden="false" customHeight="false" outlineLevel="0" collapsed="false">
      <c r="A66" s="10" t="s">
        <v>572</v>
      </c>
      <c r="B66" s="5" t="s">
        <v>573</v>
      </c>
      <c r="C66" s="5" t="s">
        <v>480</v>
      </c>
      <c r="D66" s="5"/>
    </row>
    <row r="67" customFormat="false" ht="15" hidden="false" customHeight="false" outlineLevel="0" collapsed="false">
      <c r="A67" s="10" t="s">
        <v>572</v>
      </c>
      <c r="B67" s="5" t="s">
        <v>574</v>
      </c>
      <c r="C67" s="5" t="s">
        <v>519</v>
      </c>
      <c r="D67" s="5"/>
    </row>
    <row r="68" customFormat="false" ht="15" hidden="false" customHeight="false" outlineLevel="0" collapsed="false">
      <c r="A68" s="10" t="s">
        <v>575</v>
      </c>
      <c r="B68" s="5" t="s">
        <v>576</v>
      </c>
      <c r="C68" s="5" t="s">
        <v>480</v>
      </c>
      <c r="D68" s="5"/>
    </row>
    <row r="69" customFormat="false" ht="15" hidden="false" customHeight="false" outlineLevel="0" collapsed="false">
      <c r="A69" s="10" t="s">
        <v>575</v>
      </c>
      <c r="B69" s="5" t="s">
        <v>577</v>
      </c>
      <c r="C69" s="5" t="s">
        <v>480</v>
      </c>
      <c r="D69" s="5"/>
    </row>
    <row r="70" customFormat="false" ht="15" hidden="false" customHeight="false" outlineLevel="0" collapsed="false">
      <c r="A70" s="10" t="s">
        <v>575</v>
      </c>
      <c r="B70" s="5" t="s">
        <v>578</v>
      </c>
      <c r="C70" s="5" t="s">
        <v>480</v>
      </c>
      <c r="D70" s="5"/>
    </row>
  </sheetData>
  <autoFilter ref="A1:D70"/>
  <conditionalFormatting sqref="C2:C70">
    <cfRule type="expression" priority="2" aboveAverage="0" equalAverage="0" bottom="0" percent="0" rank="0" text="" dxfId="5">
      <formula>OR(ISNUMBER(SEARCH("unsure",$C2)),ISNUMBER(SEARCH("unknown",$C2)),ISNUMBER(SEARCH("inferred",$C2)))</formula>
    </cfRule>
    <cfRule type="expression" priority="3" aboveAverage="0" equalAverage="0" bottom="0" percent="0" rank="0" text="" dxfId="6">
      <formula>OR(ISNUMBER(SEARCH("decided",$C2)),ISNUMBER(SEARCH("not started",$C2)),ISNUMBER(SEARCH("partly",$C2)),ISNUMBER(SEARCH("convention",$C2)))</formula>
    </cfRule>
    <cfRule type="expression" priority="4" aboveAverage="0" equalAverage="0" bottom="0" percent="0" rank="0" text="" dxfId="7">
      <formula>OR(ISNUMBER(SEARCH("implemented",$C2)),ISNUMBER(SEARCH("done",$C2)),ISNUMBER(SEARCH("sure",$C2)))</formula>
    </cfRule>
    <cfRule type="expression" priority="5" aboveAverage="0" equalAverage="0" bottom="0" percent="0" rank="0" text="" dxfId="8">
      <formula>OR(ISNUMBER(SEARCH("replaced",$C2)))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9" t="s">
        <v>579</v>
      </c>
      <c r="B1" s="9" t="s">
        <v>580</v>
      </c>
      <c r="C1" s="9" t="s">
        <v>396</v>
      </c>
      <c r="D1" s="9" t="s">
        <v>581</v>
      </c>
    </row>
    <row r="2" customFormat="false" ht="23.85" hidden="false" customHeight="false" outlineLevel="0" collapsed="false">
      <c r="A2" s="10" t="s">
        <v>582</v>
      </c>
      <c r="B2" s="5" t="s">
        <v>583</v>
      </c>
      <c r="C2" s="5" t="s">
        <v>584</v>
      </c>
      <c r="D2" s="5" t="s">
        <v>585</v>
      </c>
    </row>
    <row r="3" customFormat="false" ht="15" hidden="false" customHeight="false" outlineLevel="0" collapsed="false">
      <c r="A3" s="10" t="s">
        <v>586</v>
      </c>
      <c r="B3" s="5" t="s">
        <v>587</v>
      </c>
      <c r="C3" s="5" t="s">
        <v>588</v>
      </c>
      <c r="D3" s="5" t="s">
        <v>589</v>
      </c>
    </row>
    <row r="4" customFormat="false" ht="15" hidden="false" customHeight="false" outlineLevel="0" collapsed="false">
      <c r="A4" s="10" t="s">
        <v>590</v>
      </c>
      <c r="B4" s="5" t="s">
        <v>591</v>
      </c>
      <c r="C4" s="5" t="s">
        <v>584</v>
      </c>
      <c r="D4" s="5"/>
    </row>
    <row r="5" customFormat="false" ht="23.85" hidden="false" customHeight="false" outlineLevel="0" collapsed="false">
      <c r="A5" s="10" t="s">
        <v>592</v>
      </c>
      <c r="B5" s="5" t="s">
        <v>593</v>
      </c>
      <c r="C5" s="5" t="s">
        <v>594</v>
      </c>
      <c r="D5" s="5" t="s">
        <v>595</v>
      </c>
    </row>
    <row r="6" customFormat="false" ht="23.85" hidden="false" customHeight="false" outlineLevel="0" collapsed="false">
      <c r="A6" s="10" t="s">
        <v>596</v>
      </c>
      <c r="B6" s="5" t="s">
        <v>597</v>
      </c>
      <c r="C6" s="5" t="s">
        <v>594</v>
      </c>
      <c r="D6" s="5" t="s">
        <v>598</v>
      </c>
    </row>
    <row r="7" customFormat="false" ht="15" hidden="false" customHeight="false" outlineLevel="0" collapsed="false">
      <c r="A7" s="10" t="s">
        <v>599</v>
      </c>
      <c r="B7" s="5" t="s">
        <v>600</v>
      </c>
      <c r="C7" s="5" t="s">
        <v>601</v>
      </c>
      <c r="D7" s="5" t="s">
        <v>602</v>
      </c>
    </row>
    <row r="8" customFormat="false" ht="15" hidden="false" customHeight="false" outlineLevel="0" collapsed="false">
      <c r="A8" s="10" t="s">
        <v>603</v>
      </c>
      <c r="B8" s="5" t="s">
        <v>604</v>
      </c>
      <c r="C8" s="5" t="s">
        <v>584</v>
      </c>
      <c r="D8" s="5" t="s">
        <v>605</v>
      </c>
    </row>
    <row r="9" customFormat="false" ht="15" hidden="false" customHeight="false" outlineLevel="0" collapsed="false">
      <c r="A9" s="10" t="s">
        <v>606</v>
      </c>
      <c r="B9" s="5" t="s">
        <v>607</v>
      </c>
      <c r="C9" s="5" t="s">
        <v>594</v>
      </c>
      <c r="D9" s="5" t="s">
        <v>608</v>
      </c>
    </row>
    <row r="10" customFormat="false" ht="15" hidden="false" customHeight="false" outlineLevel="0" collapsed="false">
      <c r="A10" s="10" t="s">
        <v>609</v>
      </c>
      <c r="B10" s="5" t="s">
        <v>610</v>
      </c>
      <c r="C10" s="5" t="s">
        <v>594</v>
      </c>
      <c r="D10" s="5" t="s">
        <v>611</v>
      </c>
    </row>
    <row r="11" customFormat="false" ht="15" hidden="false" customHeight="false" outlineLevel="0" collapsed="false">
      <c r="A11" s="10" t="s">
        <v>612</v>
      </c>
      <c r="B11" s="5" t="s">
        <v>613</v>
      </c>
      <c r="C11" s="5" t="s">
        <v>614</v>
      </c>
      <c r="D11" s="5"/>
    </row>
    <row r="12" customFormat="false" ht="15" hidden="false" customHeight="false" outlineLevel="0" collapsed="false">
      <c r="A12" s="10" t="s">
        <v>615</v>
      </c>
      <c r="B12" s="5" t="s">
        <v>616</v>
      </c>
      <c r="C12" s="5" t="s">
        <v>614</v>
      </c>
      <c r="D12" s="5"/>
    </row>
    <row r="13" customFormat="false" ht="15" hidden="false" customHeight="false" outlineLevel="0" collapsed="false">
      <c r="A13" s="10" t="s">
        <v>617</v>
      </c>
      <c r="B13" s="5" t="s">
        <v>618</v>
      </c>
      <c r="C13" s="5" t="s">
        <v>614</v>
      </c>
      <c r="D13" s="5" t="s">
        <v>619</v>
      </c>
    </row>
    <row r="14" customFormat="false" ht="15" hidden="false" customHeight="false" outlineLevel="0" collapsed="false">
      <c r="A14" s="10" t="s">
        <v>620</v>
      </c>
      <c r="B14" s="5" t="s">
        <v>621</v>
      </c>
      <c r="C14" s="5" t="s">
        <v>594</v>
      </c>
      <c r="D14" s="5" t="s">
        <v>622</v>
      </c>
    </row>
    <row r="15" customFormat="false" ht="15" hidden="false" customHeight="false" outlineLevel="0" collapsed="false">
      <c r="A15" s="10" t="s">
        <v>623</v>
      </c>
      <c r="B15" s="5" t="s">
        <v>624</v>
      </c>
      <c r="C15" s="5" t="s">
        <v>614</v>
      </c>
      <c r="D15" s="5" t="s">
        <v>625</v>
      </c>
    </row>
    <row r="16" customFormat="false" ht="15" hidden="false" customHeight="false" outlineLevel="0" collapsed="false">
      <c r="A16" s="10" t="s">
        <v>626</v>
      </c>
      <c r="B16" s="5" t="s">
        <v>627</v>
      </c>
      <c r="C16" s="5" t="s">
        <v>594</v>
      </c>
      <c r="D16" s="5" t="s">
        <v>628</v>
      </c>
    </row>
    <row r="17" customFormat="false" ht="23.85" hidden="false" customHeight="false" outlineLevel="0" collapsed="false">
      <c r="A17" s="10" t="s">
        <v>629</v>
      </c>
      <c r="B17" s="5" t="s">
        <v>630</v>
      </c>
      <c r="C17" s="5" t="s">
        <v>614</v>
      </c>
      <c r="D17" s="5" t="s">
        <v>631</v>
      </c>
    </row>
    <row r="18" customFormat="false" ht="23.85" hidden="false" customHeight="false" outlineLevel="0" collapsed="false">
      <c r="A18" s="10" t="s">
        <v>632</v>
      </c>
      <c r="B18" s="5" t="s">
        <v>633</v>
      </c>
      <c r="C18" s="5" t="s">
        <v>614</v>
      </c>
      <c r="D18" s="5"/>
    </row>
    <row r="19" customFormat="false" ht="15" hidden="false" customHeight="false" outlineLevel="0" collapsed="false">
      <c r="A19" s="10" t="s">
        <v>634</v>
      </c>
      <c r="B19" s="5" t="s">
        <v>635</v>
      </c>
      <c r="C19" s="5" t="s">
        <v>614</v>
      </c>
      <c r="D19" s="5"/>
    </row>
  </sheetData>
  <autoFilter ref="A1:D19"/>
  <conditionalFormatting sqref="C2:C19">
    <cfRule type="expression" priority="2" aboveAverage="0" equalAverage="0" bottom="0" percent="0" rank="0" text="" dxfId="5">
      <formula>OR(ISNUMBER(SEARCH("unsure",$C2)),ISNUMBER(SEARCH("unknown",$C2)),ISNUMBER(SEARCH("inferred",$C2)))</formula>
    </cfRule>
    <cfRule type="expression" priority="3" aboveAverage="0" equalAverage="0" bottom="0" percent="0" rank="0" text="" dxfId="6">
      <formula>OR(ISNUMBER(SEARCH("decided",$C2)),ISNUMBER(SEARCH("not started",$C2)),ISNUMBER(SEARCH("partly",$C2)),ISNUMBER(SEARCH("convention",$C2)))</formula>
    </cfRule>
    <cfRule type="expression" priority="4" aboveAverage="0" equalAverage="0" bottom="0" percent="0" rank="0" text="" dxfId="7">
      <formula>OR(ISNUMBER(SEARCH("implemented",$C2)),ISNUMBER(SEARCH("done",$C2)),ISNUMBER(SEARCH("sure",$C2)))</formula>
    </cfRule>
    <cfRule type="expression" priority="5" aboveAverage="0" equalAverage="0" bottom="0" percent="0" rank="0" text="" dxfId="8">
      <formula>OR(ISNUMBER(SEARCH("replaced",$C2)))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9" t="s">
        <v>636</v>
      </c>
      <c r="B1" s="9" t="s">
        <v>637</v>
      </c>
      <c r="C1" s="9" t="s">
        <v>638</v>
      </c>
    </row>
    <row r="2" customFormat="false" ht="15" hidden="false" customHeight="false" outlineLevel="0" collapsed="false">
      <c r="A2" s="10" t="s">
        <v>639</v>
      </c>
      <c r="B2" s="5" t="s">
        <v>640</v>
      </c>
      <c r="C2" s="5" t="s">
        <v>641</v>
      </c>
    </row>
    <row r="3" customFormat="false" ht="15" hidden="false" customHeight="false" outlineLevel="0" collapsed="false">
      <c r="A3" s="10" t="s">
        <v>642</v>
      </c>
      <c r="B3" s="5" t="s">
        <v>643</v>
      </c>
      <c r="C3" s="5" t="s">
        <v>641</v>
      </c>
    </row>
    <row r="4" customFormat="false" ht="15" hidden="false" customHeight="false" outlineLevel="0" collapsed="false">
      <c r="A4" s="10" t="s">
        <v>644</v>
      </c>
      <c r="B4" s="5" t="s">
        <v>645</v>
      </c>
      <c r="C4" s="5" t="s">
        <v>641</v>
      </c>
    </row>
    <row r="5" customFormat="false" ht="23.85" hidden="false" customHeight="false" outlineLevel="0" collapsed="false">
      <c r="A5" s="10" t="s">
        <v>646</v>
      </c>
      <c r="B5" s="5" t="s">
        <v>647</v>
      </c>
      <c r="C5" s="5" t="s">
        <v>648</v>
      </c>
    </row>
    <row r="6" customFormat="false" ht="15" hidden="false" customHeight="false" outlineLevel="0" collapsed="false">
      <c r="A6" s="10" t="s">
        <v>649</v>
      </c>
      <c r="B6" s="5" t="s">
        <v>650</v>
      </c>
      <c r="C6" s="5" t="s">
        <v>651</v>
      </c>
    </row>
    <row r="7" customFormat="false" ht="15" hidden="false" customHeight="false" outlineLevel="0" collapsed="false">
      <c r="A7" s="10" t="s">
        <v>652</v>
      </c>
      <c r="B7" s="5" t="s">
        <v>653</v>
      </c>
      <c r="C7" s="5" t="s">
        <v>654</v>
      </c>
    </row>
    <row r="8" customFormat="false" ht="15" hidden="false" customHeight="false" outlineLevel="0" collapsed="false">
      <c r="A8" s="10" t="s">
        <v>655</v>
      </c>
      <c r="B8" s="5" t="s">
        <v>656</v>
      </c>
      <c r="C8" s="5" t="s">
        <v>657</v>
      </c>
    </row>
    <row r="9" customFormat="false" ht="15" hidden="false" customHeight="false" outlineLevel="0" collapsed="false">
      <c r="A9" s="10" t="s">
        <v>658</v>
      </c>
      <c r="B9" s="5" t="s">
        <v>659</v>
      </c>
      <c r="C9" s="5" t="s">
        <v>569</v>
      </c>
    </row>
    <row r="10" customFormat="false" ht="15" hidden="false" customHeight="false" outlineLevel="0" collapsed="false">
      <c r="A10" s="10" t="s">
        <v>623</v>
      </c>
      <c r="B10" s="5" t="s">
        <v>660</v>
      </c>
      <c r="C10" s="5" t="s">
        <v>661</v>
      </c>
    </row>
    <row r="11" customFormat="false" ht="15" hidden="false" customHeight="false" outlineLevel="0" collapsed="false">
      <c r="A11" s="10" t="s">
        <v>626</v>
      </c>
      <c r="B11" s="5" t="s">
        <v>662</v>
      </c>
      <c r="C11" s="5" t="s">
        <v>663</v>
      </c>
    </row>
    <row r="12" customFormat="false" ht="15" hidden="false" customHeight="false" outlineLevel="0" collapsed="false">
      <c r="A12" s="10" t="s">
        <v>629</v>
      </c>
      <c r="B12" s="5" t="s">
        <v>664</v>
      </c>
      <c r="C12" s="5" t="s">
        <v>665</v>
      </c>
    </row>
    <row r="13" customFormat="false" ht="15" hidden="false" customHeight="false" outlineLevel="0" collapsed="false">
      <c r="A13" s="10" t="s">
        <v>666</v>
      </c>
      <c r="B13" s="5" t="s">
        <v>667</v>
      </c>
      <c r="C13" s="5" t="s">
        <v>668</v>
      </c>
    </row>
    <row r="14" customFormat="false" ht="15" hidden="false" customHeight="false" outlineLevel="0" collapsed="false">
      <c r="A14" s="10" t="s">
        <v>669</v>
      </c>
      <c r="B14" s="5" t="s">
        <v>670</v>
      </c>
      <c r="C14" s="5" t="s">
        <v>671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62"/>
  </cols>
  <sheetData>
    <row r="1" customFormat="false" ht="15" hidden="false" customHeight="false" outlineLevel="0" collapsed="false">
      <c r="A1" s="9" t="s">
        <v>672</v>
      </c>
      <c r="B1" s="9" t="s">
        <v>579</v>
      </c>
      <c r="C1" s="9" t="s">
        <v>673</v>
      </c>
      <c r="D1" s="9" t="s">
        <v>674</v>
      </c>
    </row>
    <row r="2" customFormat="false" ht="23.85" hidden="false" customHeight="false" outlineLevel="0" collapsed="false">
      <c r="A2" s="10" t="n">
        <v>1</v>
      </c>
      <c r="B2" s="5" t="s">
        <v>632</v>
      </c>
      <c r="C2" s="5" t="s">
        <v>675</v>
      </c>
      <c r="D2" s="5" t="s">
        <v>676</v>
      </c>
    </row>
    <row r="3" customFormat="false" ht="15" hidden="false" customHeight="false" outlineLevel="0" collapsed="false">
      <c r="A3" s="10" t="n">
        <v>2</v>
      </c>
      <c r="B3" s="5" t="s">
        <v>634</v>
      </c>
      <c r="C3" s="5" t="s">
        <v>677</v>
      </c>
      <c r="D3" s="5" t="s">
        <v>678</v>
      </c>
    </row>
    <row r="4" customFormat="false" ht="15" hidden="false" customHeight="false" outlineLevel="0" collapsed="false">
      <c r="A4" s="10" t="n">
        <v>3</v>
      </c>
      <c r="B4" s="5" t="s">
        <v>629</v>
      </c>
      <c r="C4" s="5" t="s">
        <v>679</v>
      </c>
      <c r="D4" s="5" t="s">
        <v>680</v>
      </c>
    </row>
    <row r="5" customFormat="false" ht="15" hidden="false" customHeight="false" outlineLevel="0" collapsed="false">
      <c r="A5" s="10" t="n">
        <v>4</v>
      </c>
      <c r="B5" s="5" t="s">
        <v>617</v>
      </c>
      <c r="C5" s="5" t="s">
        <v>681</v>
      </c>
      <c r="D5" s="5" t="s">
        <v>682</v>
      </c>
    </row>
    <row r="6" customFormat="false" ht="15" hidden="false" customHeight="false" outlineLevel="0" collapsed="false">
      <c r="A6" s="10" t="n">
        <v>5</v>
      </c>
      <c r="B6" s="5" t="s">
        <v>623</v>
      </c>
      <c r="C6" s="5" t="s">
        <v>683</v>
      </c>
      <c r="D6" s="5" t="s">
        <v>684</v>
      </c>
    </row>
    <row r="7" customFormat="false" ht="15" hidden="false" customHeight="false" outlineLevel="0" collapsed="false">
      <c r="A7" s="10" t="n">
        <v>6</v>
      </c>
      <c r="B7" s="5" t="s">
        <v>612</v>
      </c>
      <c r="C7" s="5" t="s">
        <v>685</v>
      </c>
      <c r="D7" s="5"/>
    </row>
    <row r="8" customFormat="false" ht="15" hidden="false" customHeight="false" outlineLevel="0" collapsed="false">
      <c r="A8" s="10" t="n">
        <v>7</v>
      </c>
      <c r="B8" s="5" t="s">
        <v>615</v>
      </c>
      <c r="C8" s="5" t="s">
        <v>686</v>
      </c>
      <c r="D8" s="5" t="s">
        <v>687</v>
      </c>
    </row>
    <row r="9" customFormat="false" ht="15" hidden="false" customHeight="false" outlineLevel="0" collapsed="false">
      <c r="A9" s="10" t="s">
        <v>688</v>
      </c>
      <c r="B9" s="5" t="s">
        <v>603</v>
      </c>
      <c r="C9" s="5" t="s">
        <v>689</v>
      </c>
      <c r="D9" s="5" t="s">
        <v>690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9" t="s">
        <v>691</v>
      </c>
      <c r="B1" s="9" t="s">
        <v>692</v>
      </c>
    </row>
    <row r="2" customFormat="false" ht="15" hidden="false" customHeight="false" outlineLevel="0" collapsed="false">
      <c r="A2" s="10" t="s">
        <v>693</v>
      </c>
      <c r="B2" s="5" t="s">
        <v>694</v>
      </c>
    </row>
    <row r="3" customFormat="false" ht="35.05" hidden="false" customHeight="false" outlineLevel="0" collapsed="false">
      <c r="A3" s="10" t="s">
        <v>695</v>
      </c>
      <c r="B3" s="5" t="s">
        <v>696</v>
      </c>
    </row>
    <row r="4" customFormat="false" ht="15" hidden="false" customHeight="false" outlineLevel="0" collapsed="false">
      <c r="A4" s="10" t="s">
        <v>697</v>
      </c>
      <c r="B4" s="5" t="s">
        <v>698</v>
      </c>
    </row>
    <row r="5" customFormat="false" ht="15" hidden="false" customHeight="false" outlineLevel="0" collapsed="false">
      <c r="A5" s="10" t="s">
        <v>699</v>
      </c>
      <c r="B5" s="5" t="s">
        <v>700</v>
      </c>
    </row>
    <row r="6" customFormat="false" ht="15" hidden="false" customHeight="false" outlineLevel="0" collapsed="false">
      <c r="A6" s="10" t="s">
        <v>701</v>
      </c>
      <c r="B6" s="5" t="s">
        <v>702</v>
      </c>
    </row>
    <row r="7" customFormat="false" ht="23.85" hidden="false" customHeight="false" outlineLevel="0" collapsed="false">
      <c r="A7" s="10" t="s">
        <v>703</v>
      </c>
      <c r="B7" s="5" t="s">
        <v>704</v>
      </c>
    </row>
    <row r="8" customFormat="false" ht="23.85" hidden="false" customHeight="false" outlineLevel="0" collapsed="false">
      <c r="A8" s="10" t="s">
        <v>705</v>
      </c>
      <c r="B8" s="5" t="s">
        <v>706</v>
      </c>
    </row>
    <row r="9" customFormat="false" ht="15" hidden="false" customHeight="false" outlineLevel="0" collapsed="false">
      <c r="A9" s="10" t="s">
        <v>707</v>
      </c>
      <c r="B9" s="5" t="s">
        <v>708</v>
      </c>
    </row>
    <row r="10" customFormat="false" ht="15" hidden="false" customHeight="false" outlineLevel="0" collapsed="false">
      <c r="A10" s="10" t="s">
        <v>709</v>
      </c>
      <c r="B10" s="5" t="s">
        <v>710</v>
      </c>
    </row>
    <row r="11" customFormat="false" ht="15" hidden="false" customHeight="false" outlineLevel="0" collapsed="false">
      <c r="A11" s="10" t="s">
        <v>711</v>
      </c>
      <c r="B11" s="5" t="s">
        <v>712</v>
      </c>
    </row>
    <row r="12" customFormat="false" ht="15" hidden="false" customHeight="false" outlineLevel="0" collapsed="false">
      <c r="A12" s="10" t="s">
        <v>713</v>
      </c>
      <c r="B12" s="5" t="s">
        <v>714</v>
      </c>
    </row>
    <row r="13" customFormat="false" ht="15" hidden="false" customHeight="false" outlineLevel="0" collapsed="false">
      <c r="A13" s="10" t="s">
        <v>715</v>
      </c>
      <c r="B13" s="5" t="s">
        <v>716</v>
      </c>
    </row>
    <row r="14" customFormat="false" ht="15" hidden="false" customHeight="false" outlineLevel="0" collapsed="false">
      <c r="A14" s="10" t="s">
        <v>717</v>
      </c>
      <c r="B14" s="5" t="s">
        <v>718</v>
      </c>
    </row>
    <row r="15" customFormat="false" ht="15" hidden="false" customHeight="false" outlineLevel="0" collapsed="false">
      <c r="A15" s="10" t="s">
        <v>719</v>
      </c>
      <c r="B15" s="5" t="s">
        <v>720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9" t="s">
        <v>721</v>
      </c>
      <c r="B1" s="9" t="s">
        <v>722</v>
      </c>
      <c r="C1" s="9" t="s">
        <v>723</v>
      </c>
    </row>
    <row r="2" customFormat="false" ht="23.85" hidden="false" customHeight="false" outlineLevel="0" collapsed="false">
      <c r="A2" s="10" t="s">
        <v>724</v>
      </c>
      <c r="B2" s="5" t="s">
        <v>725</v>
      </c>
      <c r="C2" s="5" t="s">
        <v>726</v>
      </c>
    </row>
    <row r="3" customFormat="false" ht="15" hidden="false" customHeight="false" outlineLevel="0" collapsed="false">
      <c r="A3" s="10" t="s">
        <v>727</v>
      </c>
      <c r="B3" s="5" t="s">
        <v>728</v>
      </c>
      <c r="C3" s="5" t="s">
        <v>729</v>
      </c>
    </row>
    <row r="4" customFormat="false" ht="23.85" hidden="false" customHeight="false" outlineLevel="0" collapsed="false">
      <c r="A4" s="10" t="s">
        <v>730</v>
      </c>
      <c r="B4" s="5" t="s">
        <v>731</v>
      </c>
      <c r="C4" s="5" t="s">
        <v>732</v>
      </c>
    </row>
    <row r="5" customFormat="false" ht="15" hidden="false" customHeight="false" outlineLevel="0" collapsed="false">
      <c r="A5" s="10" t="s">
        <v>733</v>
      </c>
      <c r="B5" s="5" t="s">
        <v>734</v>
      </c>
      <c r="C5" s="5" t="s">
        <v>735</v>
      </c>
    </row>
    <row r="6" customFormat="false" ht="23.85" hidden="false" customHeight="false" outlineLevel="0" collapsed="false">
      <c r="A6" s="10" t="s">
        <v>736</v>
      </c>
      <c r="B6" s="5" t="s">
        <v>737</v>
      </c>
      <c r="C6" s="5" t="s">
        <v>738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9" t="s">
        <v>739</v>
      </c>
      <c r="B1" s="9" t="s">
        <v>740</v>
      </c>
      <c r="C1" s="9" t="s">
        <v>741</v>
      </c>
    </row>
    <row r="2" customFormat="false" ht="15" hidden="false" customHeight="false" outlineLevel="0" collapsed="false">
      <c r="A2" s="10" t="s">
        <v>742</v>
      </c>
      <c r="B2" s="5" t="s">
        <v>310</v>
      </c>
      <c r="C2" s="5" t="s">
        <v>743</v>
      </c>
    </row>
    <row r="3" customFormat="false" ht="15" hidden="false" customHeight="false" outlineLevel="0" collapsed="false">
      <c r="A3" s="10" t="s">
        <v>744</v>
      </c>
      <c r="B3" s="5" t="s">
        <v>310</v>
      </c>
      <c r="C3" s="5" t="s">
        <v>745</v>
      </c>
    </row>
    <row r="4" customFormat="false" ht="15" hidden="false" customHeight="false" outlineLevel="0" collapsed="false">
      <c r="A4" s="10" t="s">
        <v>746</v>
      </c>
      <c r="B4" s="5" t="s">
        <v>310</v>
      </c>
      <c r="C4" s="5" t="s">
        <v>747</v>
      </c>
    </row>
    <row r="5" customFormat="false" ht="15" hidden="false" customHeight="false" outlineLevel="0" collapsed="false">
      <c r="A5" s="10" t="s">
        <v>748</v>
      </c>
      <c r="B5" s="5" t="s">
        <v>310</v>
      </c>
      <c r="C5" s="5" t="s">
        <v>749</v>
      </c>
    </row>
    <row r="6" customFormat="false" ht="15" hidden="false" customHeight="false" outlineLevel="0" collapsed="false">
      <c r="A6" s="10" t="s">
        <v>750</v>
      </c>
      <c r="B6" s="5" t="s">
        <v>310</v>
      </c>
      <c r="C6" s="5" t="s">
        <v>751</v>
      </c>
    </row>
    <row r="7" customFormat="false" ht="15" hidden="false" customHeight="false" outlineLevel="0" collapsed="false">
      <c r="A7" s="10" t="s">
        <v>752</v>
      </c>
      <c r="B7" s="5" t="s">
        <v>310</v>
      </c>
      <c r="C7" s="5" t="s">
        <v>753</v>
      </c>
    </row>
    <row r="8" customFormat="false" ht="15" hidden="false" customHeight="false" outlineLevel="0" collapsed="false">
      <c r="A8" s="10" t="s">
        <v>754</v>
      </c>
      <c r="B8" s="5" t="s">
        <v>310</v>
      </c>
      <c r="C8" s="5" t="s">
        <v>755</v>
      </c>
    </row>
    <row r="9" customFormat="false" ht="15" hidden="false" customHeight="false" outlineLevel="0" collapsed="false">
      <c r="A9" s="10" t="s">
        <v>756</v>
      </c>
      <c r="B9" s="5" t="s">
        <v>310</v>
      </c>
      <c r="C9" s="5" t="s">
        <v>757</v>
      </c>
    </row>
    <row r="10" customFormat="false" ht="15" hidden="false" customHeight="false" outlineLevel="0" collapsed="false">
      <c r="A10" s="10" t="s">
        <v>758</v>
      </c>
      <c r="B10" s="5" t="s">
        <v>310</v>
      </c>
      <c r="C10" s="5" t="s">
        <v>759</v>
      </c>
    </row>
    <row r="11" customFormat="false" ht="15" hidden="false" customHeight="false" outlineLevel="0" collapsed="false">
      <c r="A11" s="10" t="s">
        <v>760</v>
      </c>
      <c r="B11" s="5" t="s">
        <v>310</v>
      </c>
      <c r="C11" s="5" t="s">
        <v>761</v>
      </c>
    </row>
    <row r="12" customFormat="false" ht="15" hidden="false" customHeight="false" outlineLevel="0" collapsed="false">
      <c r="A12" s="10" t="s">
        <v>762</v>
      </c>
      <c r="B12" s="5" t="s">
        <v>310</v>
      </c>
      <c r="C12" s="5" t="s">
        <v>763</v>
      </c>
    </row>
    <row r="13" customFormat="false" ht="15" hidden="false" customHeight="false" outlineLevel="0" collapsed="false">
      <c r="A13" s="10" t="s">
        <v>764</v>
      </c>
      <c r="B13" s="5" t="s">
        <v>310</v>
      </c>
      <c r="C13" s="5" t="s">
        <v>765</v>
      </c>
    </row>
    <row r="14" customFormat="false" ht="15" hidden="false" customHeight="false" outlineLevel="0" collapsed="false">
      <c r="A14" s="10" t="s">
        <v>766</v>
      </c>
      <c r="B14" s="5" t="s">
        <v>310</v>
      </c>
      <c r="C14" s="5" t="s">
        <v>767</v>
      </c>
    </row>
    <row r="15" customFormat="false" ht="15" hidden="false" customHeight="false" outlineLevel="0" collapsed="false">
      <c r="A15" s="10" t="s">
        <v>768</v>
      </c>
      <c r="B15" s="5" t="s">
        <v>310</v>
      </c>
      <c r="C15" s="5" t="s">
        <v>769</v>
      </c>
    </row>
    <row r="16" customFormat="false" ht="15" hidden="false" customHeight="false" outlineLevel="0" collapsed="false">
      <c r="A16" s="10" t="s">
        <v>770</v>
      </c>
      <c r="B16" s="5" t="s">
        <v>310</v>
      </c>
      <c r="C16" s="5" t="s">
        <v>771</v>
      </c>
    </row>
    <row r="17" customFormat="false" ht="15" hidden="false" customHeight="false" outlineLevel="0" collapsed="false">
      <c r="A17" s="10" t="s">
        <v>772</v>
      </c>
      <c r="B17" s="5" t="s">
        <v>310</v>
      </c>
      <c r="C17" s="5" t="s">
        <v>773</v>
      </c>
    </row>
    <row r="18" customFormat="false" ht="15" hidden="false" customHeight="false" outlineLevel="0" collapsed="false">
      <c r="A18" s="10" t="s">
        <v>774</v>
      </c>
      <c r="B18" s="5" t="s">
        <v>310</v>
      </c>
      <c r="C18" s="5" t="s">
        <v>775</v>
      </c>
    </row>
    <row r="19" customFormat="false" ht="15" hidden="false" customHeight="false" outlineLevel="0" collapsed="false">
      <c r="A19" s="10" t="s">
        <v>776</v>
      </c>
      <c r="B19" s="5" t="s">
        <v>310</v>
      </c>
      <c r="C19" s="5" t="s">
        <v>777</v>
      </c>
    </row>
    <row r="20" customFormat="false" ht="15" hidden="false" customHeight="false" outlineLevel="0" collapsed="false">
      <c r="A20" s="10" t="s">
        <v>778</v>
      </c>
      <c r="B20" s="5" t="s">
        <v>310</v>
      </c>
      <c r="C20" s="5" t="s">
        <v>779</v>
      </c>
    </row>
    <row r="21" customFormat="false" ht="15" hidden="false" customHeight="false" outlineLevel="0" collapsed="false">
      <c r="A21" s="10" t="s">
        <v>780</v>
      </c>
      <c r="B21" s="5" t="s">
        <v>310</v>
      </c>
      <c r="C21" s="5" t="s">
        <v>781</v>
      </c>
    </row>
    <row r="22" customFormat="false" ht="15" hidden="false" customHeight="false" outlineLevel="0" collapsed="false">
      <c r="A22" s="10" t="s">
        <v>782</v>
      </c>
      <c r="B22" s="5" t="s">
        <v>310</v>
      </c>
      <c r="C22" s="5" t="s">
        <v>783</v>
      </c>
    </row>
    <row r="23" customFormat="false" ht="15" hidden="false" customHeight="false" outlineLevel="0" collapsed="false">
      <c r="A23" s="10" t="s">
        <v>784</v>
      </c>
      <c r="B23" s="5" t="s">
        <v>310</v>
      </c>
      <c r="C23" s="5" t="s">
        <v>664</v>
      </c>
    </row>
    <row r="24" customFormat="false" ht="15" hidden="false" customHeight="false" outlineLevel="0" collapsed="false">
      <c r="A24" s="10" t="s">
        <v>785</v>
      </c>
      <c r="B24" s="5" t="s">
        <v>310</v>
      </c>
      <c r="C24" s="5" t="s">
        <v>786</v>
      </c>
    </row>
    <row r="25" customFormat="false" ht="15" hidden="false" customHeight="false" outlineLevel="0" collapsed="false">
      <c r="A25" s="10" t="s">
        <v>787</v>
      </c>
      <c r="B25" s="5" t="s">
        <v>788</v>
      </c>
      <c r="C25" s="5" t="s">
        <v>789</v>
      </c>
    </row>
    <row r="26" customFormat="false" ht="15" hidden="false" customHeight="false" outlineLevel="0" collapsed="false">
      <c r="A26" s="10" t="s">
        <v>790</v>
      </c>
      <c r="B26" s="5" t="s">
        <v>788</v>
      </c>
      <c r="C26" s="5" t="s">
        <v>791</v>
      </c>
    </row>
    <row r="27" customFormat="false" ht="15" hidden="false" customHeight="false" outlineLevel="0" collapsed="false">
      <c r="A27" s="10" t="s">
        <v>792</v>
      </c>
      <c r="B27" s="5" t="s">
        <v>217</v>
      </c>
      <c r="C27" s="5" t="s">
        <v>743</v>
      </c>
    </row>
    <row r="28" customFormat="false" ht="15" hidden="false" customHeight="false" outlineLevel="0" collapsed="false">
      <c r="A28" s="10" t="s">
        <v>793</v>
      </c>
      <c r="B28" s="5" t="s">
        <v>217</v>
      </c>
      <c r="C28" s="5" t="s">
        <v>794</v>
      </c>
    </row>
    <row r="29" customFormat="false" ht="15" hidden="false" customHeight="false" outlineLevel="0" collapsed="false">
      <c r="A29" s="10" t="s">
        <v>795</v>
      </c>
      <c r="B29" s="5" t="s">
        <v>217</v>
      </c>
      <c r="C29" s="5" t="s">
        <v>747</v>
      </c>
    </row>
    <row r="30" customFormat="false" ht="15" hidden="false" customHeight="false" outlineLevel="0" collapsed="false">
      <c r="A30" s="10" t="s">
        <v>796</v>
      </c>
      <c r="B30" s="5" t="s">
        <v>217</v>
      </c>
      <c r="C30" s="5" t="s">
        <v>797</v>
      </c>
    </row>
    <row r="31" customFormat="false" ht="15" hidden="false" customHeight="false" outlineLevel="0" collapsed="false">
      <c r="A31" s="10" t="s">
        <v>798</v>
      </c>
      <c r="B31" s="5" t="s">
        <v>217</v>
      </c>
      <c r="C31" s="5" t="s">
        <v>799</v>
      </c>
    </row>
    <row r="32" customFormat="false" ht="15" hidden="false" customHeight="false" outlineLevel="0" collapsed="false">
      <c r="A32" s="10" t="s">
        <v>800</v>
      </c>
      <c r="B32" s="5" t="s">
        <v>217</v>
      </c>
      <c r="C32" s="5" t="s">
        <v>801</v>
      </c>
    </row>
    <row r="33" customFormat="false" ht="15" hidden="false" customHeight="false" outlineLevel="0" collapsed="false">
      <c r="A33" s="10" t="s">
        <v>802</v>
      </c>
      <c r="B33" s="5" t="s">
        <v>217</v>
      </c>
      <c r="C33" s="5" t="s">
        <v>803</v>
      </c>
    </row>
    <row r="34" customFormat="false" ht="15" hidden="false" customHeight="false" outlineLevel="0" collapsed="false">
      <c r="A34" s="10" t="s">
        <v>804</v>
      </c>
      <c r="B34" s="5" t="s">
        <v>217</v>
      </c>
      <c r="C34" s="5" t="s">
        <v>805</v>
      </c>
    </row>
    <row r="35" customFormat="false" ht="15" hidden="false" customHeight="false" outlineLevel="0" collapsed="false">
      <c r="A35" s="10" t="s">
        <v>806</v>
      </c>
      <c r="B35" s="5" t="s">
        <v>217</v>
      </c>
      <c r="C35" s="5" t="s">
        <v>807</v>
      </c>
    </row>
    <row r="36" customFormat="false" ht="15" hidden="false" customHeight="false" outlineLevel="0" collapsed="false">
      <c r="A36" s="10" t="s">
        <v>808</v>
      </c>
      <c r="B36" s="5" t="s">
        <v>217</v>
      </c>
      <c r="C36" s="5" t="s">
        <v>809</v>
      </c>
    </row>
    <row r="37" customFormat="false" ht="15" hidden="false" customHeight="false" outlineLevel="0" collapsed="false">
      <c r="A37" s="10" t="s">
        <v>810</v>
      </c>
      <c r="B37" s="5" t="s">
        <v>156</v>
      </c>
      <c r="C37" s="5" t="s">
        <v>743</v>
      </c>
    </row>
    <row r="38" customFormat="false" ht="15" hidden="false" customHeight="false" outlineLevel="0" collapsed="false">
      <c r="A38" s="10" t="s">
        <v>811</v>
      </c>
      <c r="B38" s="5" t="s">
        <v>156</v>
      </c>
      <c r="C38" s="5" t="s">
        <v>812</v>
      </c>
    </row>
    <row r="39" customFormat="false" ht="15" hidden="false" customHeight="false" outlineLevel="0" collapsed="false">
      <c r="A39" s="10" t="s">
        <v>813</v>
      </c>
      <c r="B39" s="5" t="s">
        <v>156</v>
      </c>
      <c r="C39" s="5" t="s">
        <v>814</v>
      </c>
    </row>
    <row r="40" customFormat="false" ht="15" hidden="false" customHeight="false" outlineLevel="0" collapsed="false">
      <c r="A40" s="10" t="s">
        <v>815</v>
      </c>
      <c r="B40" s="5" t="s">
        <v>156</v>
      </c>
      <c r="C40" s="5" t="s">
        <v>794</v>
      </c>
    </row>
    <row r="41" customFormat="false" ht="15" hidden="false" customHeight="false" outlineLevel="0" collapsed="false">
      <c r="A41" s="10" t="s">
        <v>816</v>
      </c>
      <c r="B41" s="5" t="s">
        <v>156</v>
      </c>
      <c r="C41" s="5" t="s">
        <v>747</v>
      </c>
    </row>
    <row r="42" customFormat="false" ht="15" hidden="false" customHeight="false" outlineLevel="0" collapsed="false">
      <c r="A42" s="10" t="s">
        <v>817</v>
      </c>
      <c r="B42" s="5" t="s">
        <v>156</v>
      </c>
      <c r="C42" s="5" t="s">
        <v>818</v>
      </c>
    </row>
    <row r="43" customFormat="false" ht="15" hidden="false" customHeight="false" outlineLevel="0" collapsed="false">
      <c r="A43" s="10" t="s">
        <v>819</v>
      </c>
      <c r="B43" s="5" t="s">
        <v>156</v>
      </c>
      <c r="C43" s="5" t="s">
        <v>820</v>
      </c>
    </row>
    <row r="44" customFormat="false" ht="15" hidden="false" customHeight="false" outlineLevel="0" collapsed="false">
      <c r="A44" s="10" t="s">
        <v>821</v>
      </c>
      <c r="B44" s="5" t="s">
        <v>156</v>
      </c>
      <c r="C44" s="5" t="s">
        <v>822</v>
      </c>
    </row>
    <row r="45" customFormat="false" ht="15" hidden="false" customHeight="false" outlineLevel="0" collapsed="false">
      <c r="A45" s="10" t="s">
        <v>823</v>
      </c>
      <c r="B45" s="5" t="s">
        <v>156</v>
      </c>
      <c r="C45" s="5" t="s">
        <v>824</v>
      </c>
    </row>
    <row r="46" customFormat="false" ht="15" hidden="false" customHeight="false" outlineLevel="0" collapsed="false">
      <c r="A46" s="10" t="s">
        <v>825</v>
      </c>
      <c r="B46" s="5" t="s">
        <v>156</v>
      </c>
      <c r="C46" s="5" t="s">
        <v>826</v>
      </c>
    </row>
    <row r="47" customFormat="false" ht="15" hidden="false" customHeight="false" outlineLevel="0" collapsed="false">
      <c r="A47" s="10" t="s">
        <v>827</v>
      </c>
      <c r="B47" s="5" t="s">
        <v>156</v>
      </c>
      <c r="C47" s="5" t="s">
        <v>828</v>
      </c>
    </row>
    <row r="48" customFormat="false" ht="15" hidden="false" customHeight="false" outlineLevel="0" collapsed="false">
      <c r="A48" s="10" t="s">
        <v>829</v>
      </c>
      <c r="B48" s="5" t="s">
        <v>830</v>
      </c>
      <c r="C48" s="5" t="s">
        <v>831</v>
      </c>
    </row>
  </sheetData>
  <autoFilter ref="A1:C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3.85" hidden="false" customHeight="false" outlineLevel="0" collapsed="false">
      <c r="A1" s="9" t="s">
        <v>110</v>
      </c>
      <c r="B1" s="9" t="s">
        <v>832</v>
      </c>
      <c r="C1" s="9" t="s">
        <v>833</v>
      </c>
    </row>
    <row r="2" customFormat="false" ht="15" hidden="false" customHeight="false" outlineLevel="0" collapsed="false">
      <c r="A2" s="10" t="s">
        <v>834</v>
      </c>
      <c r="B2" s="5" t="s">
        <v>835</v>
      </c>
      <c r="C2" s="5" t="s">
        <v>836</v>
      </c>
    </row>
    <row r="3" customFormat="false" ht="15" hidden="false" customHeight="false" outlineLevel="0" collapsed="false">
      <c r="A3" s="10" t="s">
        <v>837</v>
      </c>
      <c r="B3" s="5" t="s">
        <v>838</v>
      </c>
      <c r="C3" s="5" t="s">
        <v>839</v>
      </c>
    </row>
    <row r="4" customFormat="false" ht="15" hidden="false" customHeight="false" outlineLevel="0" collapsed="false">
      <c r="A4" s="10" t="s">
        <v>840</v>
      </c>
      <c r="B4" s="5" t="s">
        <v>841</v>
      </c>
      <c r="C4" s="5" t="s">
        <v>842</v>
      </c>
    </row>
    <row r="5" customFormat="false" ht="15" hidden="false" customHeight="false" outlineLevel="0" collapsed="false">
      <c r="A5" s="10" t="s">
        <v>843</v>
      </c>
      <c r="B5" s="5" t="s">
        <v>844</v>
      </c>
      <c r="C5" s="5" t="s">
        <v>845</v>
      </c>
    </row>
    <row r="6" customFormat="false" ht="15" hidden="false" customHeight="false" outlineLevel="0" collapsed="false">
      <c r="A6" s="10" t="s">
        <v>846</v>
      </c>
      <c r="B6" s="5" t="s">
        <v>847</v>
      </c>
      <c r="C6" s="5" t="s">
        <v>848</v>
      </c>
    </row>
    <row r="7" customFormat="false" ht="15" hidden="false" customHeight="false" outlineLevel="0" collapsed="false">
      <c r="A7" s="10" t="s">
        <v>849</v>
      </c>
      <c r="B7" s="5" t="s">
        <v>850</v>
      </c>
      <c r="C7" s="5" t="s">
        <v>851</v>
      </c>
    </row>
    <row r="8" customFormat="false" ht="15" hidden="false" customHeight="false" outlineLevel="0" collapsed="false">
      <c r="A8" s="10" t="s">
        <v>852</v>
      </c>
      <c r="B8" s="5" t="s">
        <v>853</v>
      </c>
      <c r="C8" s="5" t="s">
        <v>854</v>
      </c>
    </row>
    <row r="9" customFormat="false" ht="15" hidden="false" customHeight="false" outlineLevel="0" collapsed="false">
      <c r="A9" s="10" t="s">
        <v>855</v>
      </c>
      <c r="B9" s="5"/>
      <c r="C9" s="5" t="s">
        <v>856</v>
      </c>
    </row>
    <row r="10" customFormat="false" ht="15" hidden="false" customHeight="false" outlineLevel="0" collapsed="false">
      <c r="A10" s="10" t="s">
        <v>857</v>
      </c>
      <c r="B10" s="5"/>
      <c r="C10" s="5" t="s">
        <v>858</v>
      </c>
    </row>
    <row r="11" customFormat="false" ht="15" hidden="false" customHeight="false" outlineLevel="0" collapsed="false">
      <c r="A11" s="10" t="s">
        <v>859</v>
      </c>
      <c r="B11" s="5"/>
      <c r="C11" s="5" t="s">
        <v>860</v>
      </c>
    </row>
    <row r="12" customFormat="false" ht="15" hidden="false" customHeight="false" outlineLevel="0" collapsed="false">
      <c r="A12" s="10" t="s">
        <v>861</v>
      </c>
      <c r="B12" s="5"/>
      <c r="C12" s="5" t="s">
        <v>862</v>
      </c>
    </row>
    <row r="13" customFormat="false" ht="15" hidden="false" customHeight="false" outlineLevel="0" collapsed="false">
      <c r="A13" s="10" t="s">
        <v>863</v>
      </c>
      <c r="B13" s="5"/>
      <c r="C13" s="5" t="s">
        <v>864</v>
      </c>
    </row>
    <row r="14" customFormat="false" ht="15" hidden="false" customHeight="false" outlineLevel="0" collapsed="false">
      <c r="A14" s="10" t="s">
        <v>865</v>
      </c>
      <c r="B14" s="5"/>
      <c r="C14" s="5" t="s">
        <v>866</v>
      </c>
    </row>
    <row r="15" customFormat="false" ht="15" hidden="false" customHeight="false" outlineLevel="0" collapsed="false">
      <c r="A15" s="10" t="s">
        <v>867</v>
      </c>
      <c r="B15" s="5" t="s">
        <v>868</v>
      </c>
      <c r="C15" s="5" t="s">
        <v>869</v>
      </c>
    </row>
  </sheetData>
  <autoFilter ref="A1:C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9" t="s">
        <v>42</v>
      </c>
      <c r="B1" s="9" t="s">
        <v>870</v>
      </c>
      <c r="C1" s="9" t="s">
        <v>871</v>
      </c>
    </row>
    <row r="2" customFormat="false" ht="15" hidden="false" customHeight="false" outlineLevel="0" collapsed="false">
      <c r="A2" s="10" t="s">
        <v>67</v>
      </c>
      <c r="B2" s="5" t="s">
        <v>872</v>
      </c>
      <c r="C2" s="5" t="s">
        <v>873</v>
      </c>
    </row>
    <row r="3" customFormat="false" ht="15" hidden="false" customHeight="false" outlineLevel="0" collapsed="false">
      <c r="A3" s="10" t="s">
        <v>70</v>
      </c>
      <c r="B3" s="5" t="s">
        <v>874</v>
      </c>
      <c r="C3" s="5" t="s">
        <v>875</v>
      </c>
    </row>
    <row r="4" customFormat="false" ht="15" hidden="false" customHeight="false" outlineLevel="0" collapsed="false">
      <c r="A4" s="10" t="s">
        <v>72</v>
      </c>
      <c r="B4" s="5" t="s">
        <v>876</v>
      </c>
      <c r="C4" s="5" t="s">
        <v>877</v>
      </c>
    </row>
    <row r="5" customFormat="false" ht="15" hidden="false" customHeight="false" outlineLevel="0" collapsed="false">
      <c r="A5" s="10" t="s">
        <v>878</v>
      </c>
      <c r="B5" s="5" t="s">
        <v>879</v>
      </c>
      <c r="C5" s="5" t="s">
        <v>880</v>
      </c>
    </row>
    <row r="6" customFormat="false" ht="15" hidden="false" customHeight="false" outlineLevel="0" collapsed="false">
      <c r="A6" s="10" t="s">
        <v>331</v>
      </c>
      <c r="B6" s="5" t="s">
        <v>881</v>
      </c>
      <c r="C6" s="5" t="s">
        <v>882</v>
      </c>
    </row>
    <row r="7" customFormat="false" ht="15" hidden="false" customHeight="false" outlineLevel="0" collapsed="false">
      <c r="A7" s="10" t="s">
        <v>10</v>
      </c>
      <c r="B7" s="5" t="s">
        <v>883</v>
      </c>
      <c r="C7" s="5" t="s">
        <v>884</v>
      </c>
    </row>
    <row r="8" customFormat="false" ht="15" hidden="false" customHeight="false" outlineLevel="0" collapsed="false">
      <c r="A8" s="10" t="s">
        <v>885</v>
      </c>
      <c r="B8" s="5" t="s">
        <v>886</v>
      </c>
      <c r="C8" s="5" t="s">
        <v>887</v>
      </c>
    </row>
    <row r="9" customFormat="false" ht="15" hidden="false" customHeight="false" outlineLevel="0" collapsed="false">
      <c r="A9" s="10" t="s">
        <v>267</v>
      </c>
      <c r="B9" s="5" t="s">
        <v>888</v>
      </c>
      <c r="C9" s="5" t="s">
        <v>889</v>
      </c>
    </row>
    <row r="10" customFormat="false" ht="15" hidden="false" customHeight="false" outlineLevel="0" collapsed="false">
      <c r="A10" s="10" t="s">
        <v>272</v>
      </c>
      <c r="B10" s="5" t="s">
        <v>890</v>
      </c>
      <c r="C10" s="5" t="s">
        <v>891</v>
      </c>
    </row>
    <row r="11" customFormat="false" ht="15" hidden="false" customHeight="false" outlineLevel="0" collapsed="false">
      <c r="A11" s="10" t="s">
        <v>274</v>
      </c>
      <c r="B11" s="5" t="s">
        <v>892</v>
      </c>
      <c r="C11" s="5" t="s">
        <v>893</v>
      </c>
    </row>
    <row r="12" customFormat="false" ht="15" hidden="false" customHeight="false" outlineLevel="0" collapsed="false">
      <c r="A12" s="10" t="s">
        <v>894</v>
      </c>
      <c r="B12" s="5" t="s">
        <v>895</v>
      </c>
      <c r="C12" s="5" t="s">
        <v>896</v>
      </c>
    </row>
    <row r="13" customFormat="false" ht="15" hidden="false" customHeight="false" outlineLevel="0" collapsed="false">
      <c r="A13" s="10" t="s">
        <v>325</v>
      </c>
      <c r="B13" s="5" t="s">
        <v>897</v>
      </c>
      <c r="C13" s="5" t="s">
        <v>898</v>
      </c>
    </row>
    <row r="14" customFormat="false" ht="15" hidden="false" customHeight="false" outlineLevel="0" collapsed="false">
      <c r="A14" s="10" t="s">
        <v>478</v>
      </c>
      <c r="B14" s="5" t="s">
        <v>899</v>
      </c>
      <c r="C14" s="5" t="s">
        <v>887</v>
      </c>
    </row>
    <row r="15" customFormat="false" ht="15" hidden="false" customHeight="false" outlineLevel="0" collapsed="false">
      <c r="A15" s="10" t="s">
        <v>900</v>
      </c>
      <c r="B15" s="5" t="s">
        <v>901</v>
      </c>
      <c r="C15" s="5" t="s">
        <v>902</v>
      </c>
    </row>
    <row r="16" customFormat="false" ht="15" hidden="false" customHeight="false" outlineLevel="0" collapsed="false">
      <c r="A16" s="10" t="s">
        <v>36</v>
      </c>
      <c r="B16" s="5" t="s">
        <v>903</v>
      </c>
      <c r="C16" s="5" t="s">
        <v>904</v>
      </c>
    </row>
    <row r="17" customFormat="false" ht="15" hidden="false" customHeight="false" outlineLevel="0" collapsed="false">
      <c r="A17" s="10" t="s">
        <v>905</v>
      </c>
      <c r="B17" s="5" t="s">
        <v>906</v>
      </c>
      <c r="C17" s="5" t="s">
        <v>907</v>
      </c>
    </row>
    <row r="18" customFormat="false" ht="15" hidden="false" customHeight="false" outlineLevel="0" collapsed="false">
      <c r="A18" s="10" t="s">
        <v>908</v>
      </c>
      <c r="B18" s="5" t="s">
        <v>909</v>
      </c>
      <c r="C18" s="5" t="s">
        <v>910</v>
      </c>
    </row>
    <row r="19" customFormat="false" ht="15" hidden="false" customHeight="false" outlineLevel="0" collapsed="false">
      <c r="A19" s="10" t="s">
        <v>911</v>
      </c>
      <c r="B19" s="5" t="s">
        <v>912</v>
      </c>
      <c r="C19" s="5" t="s">
        <v>873</v>
      </c>
    </row>
  </sheetData>
  <autoFilter ref="A1:C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2026-10-07T14:12:11Z</dcterms:created>
  <dc:creator>openpyxl</dc:creator>
  <dc:description/>
  <dc:language>en-US</dc:language>
  <cp:lastModifiedBy/>
  <dcterms:modified xsi:type="dcterms:W3CDTF">2026-10-07T14:12:11Z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